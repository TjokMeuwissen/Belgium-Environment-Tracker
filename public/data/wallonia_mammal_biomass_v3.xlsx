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 Data" sheetId="2" state="visible" r:id="rId4"/>
    <sheet name="Human Biomass" sheetId="3" state="visible" r:id="rId5"/>
    <sheet name="Human Biomass Brussels" sheetId="4" state="visible" r:id="rId6"/>
    <sheet name="Input Data Brussels" sheetId="5" state="visible" r:id="rId7"/>
    <sheet name="Results" sheetId="6" state="visible" r:id="rId8"/>
    <sheet name="Results Brussels" sheetId="7" state="visible" r:id="rId9"/>
    <sheet name="Sensitivit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<sst xmlns="http://schemas.openxmlformats.org/spreadsheetml/2006/main" count="559" uniqueCount="278">
  <si>
    <t xml:space="preserve">Wallonia Mammal Biomass Calculation — Methodology &amp; Data Sources</t>
  </si>
  <si>
    <t xml:space="preserve">Purpose</t>
  </si>
  <si>
    <t xml:space="preserve">Estimates the share of wild mammals vs humans and livestock in total mammal biomass in Wallonia (Belgium), following Bar-On, Phillips &amp; Milo (PNAS 2018) and the INBO Flemish analysis (Natuurrapport 2020). No equivalent calculation had previously been published for Wallonia.</t>
  </si>
  <si>
    <t xml:space="preserve">Methodology</t>
  </si>
  <si>
    <t xml:space="preserve">Population count × average live body weight = biomass in tonnes, per category. Livestock weights follow IPCC (2006) Tier 1 defaults. Wild ungulate weights are from INBO field data and scientific literature. Human weights use age-stratified Statbel 2023 population structure.</t>
  </si>
  <si>
    <t xml:space="preserve">Scope</t>
  </si>
  <si>
    <t xml:space="preserve">Only mammals with meaningful biomass contribution are included. This covers humans, all livestock categories, and wild mammals for which population estimates exist. Wild species are split into two tiers by data source (see 'Wild mammal data sources' below). Species where no Wallonia-specific count exists and individual weight is negligible (bats, rodents, shrews, hedgehogs) are excluded — see 'Species excluded' section below.</t>
  </si>
  <si>
    <t xml:space="preserve">Uncertainty</t>
  </si>
  <si>
    <t xml:space="preserve">Wild mammal counts carry the highest uncertainty (±100% margin applied, as per INBO practice). Livestock and human figures are based on official Statbel/SANITEL headcounts (&lt;5% uncertainty).</t>
  </si>
  <si>
    <t xml:space="preserve">Data sources</t>
  </si>
  <si>
    <t xml:space="preserve">Humans: Statbel pop. register 2023; Belgian HIS 2018 (body weight by age)
Cattle: État de l'Agriculture Wallonne / Statbel, recensement 2023 (1,009,060 heads)
Pigs: Statbel 2023 (342,382 heads)
Horses: SPW ARNE-DEMNA 2023 (101,000 equids)
Sheep &amp; goats: Statbel 2023 (~135,000 estimated)
Red deer: État de l'environnement wallon, SPW ARNE-DNF (2018): ~8,000 spring pre-birth (2015)
Roe deer: État de l'environnement wallon, SPW ARNE-DNF (2018): ~25,000 spring pre-birth (2016)
Wild boar: État de l'environnement wallon, SPW ARNE-DNF (2018): 17,994 spring pre-birth (2015)
Badger: État de l'environnement wallon, SPW-DGO3-DEMNA/ULg (2018): ~5,000 (2014 sett extrapolation)
Wildcat, pine marten, wolf, otter: ODWB Natura 2000 Art.17 HD reporting dataset (2019–2024 cycle)
Body weights: IPCC 2006 Tier 1; Kruuk 2006; Mech &amp; Boitani 2003; Piechocki 1990; scientific literature</t>
  </si>
  <si>
    <t xml:space="preserve">Benchmarks</t>
  </si>
  <si>
    <t xml:space="preserve">Global (Bar-On et al. 2018): humans 36% / livestock 60% / wild 4%
Flanders (INBO Natuurrapport 2020): wild mammals &lt;0.1%
Wallonia (this calculation): see Results sheet</t>
  </si>
  <si>
    <t xml:space="preserve">Wild mammal data: ungulates &amp; badger</t>
  </si>
  <si>
    <t xml:space="preserve">The three main wild ungulates (red deer, roe deer, wild boar) and the badger are monitored by the Département de la Nature et des Forêts (DNF) under SPW ARNE. Their population estimates are published in the État de l'Environnement Wallon (etat.environnement.wallonie.be) and are derived from hunting bag statistics: the number of animals shot or found dead during the previous hunting season is used to back-calculate the spring pre-birth population size. This method is standard practice in Wallonia and neighbouring countries but carries inherent uncertainty — it requires assumptions about harvest rates and can be biased if reporting is incomplete. The État de l'Environnement Wallon itself flags data as partial for 2013–2016 and notes that this methodology produces the least-biased estimates for red deer, but is less reliable for roe deer and wild boar. Population figures used here are spring pre-birth estimates (before the birth season inflates numbers), which is the standard reference point used in Walloon wildlife management. Source: SPW ARNE - DNF, État de l'Environnement Wallon, fiche 'Évolution des populations d'ongulés sauvages', last updated 09/01/2018 (update scheduled for 2026). URL: etat.environnement.wallonie.be</t>
  </si>
  <si>
    <t xml:space="preserve">Wild mammal data: Natura 2000 species</t>
  </si>
  <si>
    <t xml:space="preserve">Four species in this model — wildcat (Felis silvestris), pine marten (Martes martes), wolf (Canis lupus), and otter (Lutra lutra) — are listed on Annex II or Annex IV of the EU Habitats Directive and are subject to formal monitoring under Article 17 of that directive. Every six years, Wallonia submits a conservation status report to the European Commission covering population size, range, habitat quality, and future prospects for each listed species. The population figures used here come from the 2019–2024 reporting cycle, published in the Open Data Wallonie-Bruxelles dataset 'État de conservation des espèces Natura 2000' (odwb.be). These are the most authoritative population estimates available for these species in Wallonia: they are peer-reviewed before submission to the EC and represent the official government position. Population sizes are reported as ranges (e.g. 1,000–5,000 individuals); this model uses the midpoint as the central estimate. Where a species occurs in both the Atlantic and Continental biogeographic regions of Wallonia, the two regional figures are summed to obtain the Wallonia-wide total.</t>
  </si>
  <si>
    <t xml:space="preserve">Bats — present but excluded</t>
  </si>
  <si>
    <t xml:space="preserve">Wallonia hosts 22 bat species, all protected under the Habitats Directive Annex IV. Population data for 15 species are available in the same ODWB Art.17 dataset. The most numerous is the common pipistrelle (Pipistrellus pipistrellus), with 100,000–500,000 individuals in the Continental region alone. Despite these large numbers, bats contribute negligible biomass: a common pipistrelle weighs just 5 grams. Even at 500,000 individuals, the entire pipistrelle population weighs ~2.5 tonnes — equivalent to roughly 4 dairy cows. The combined biomass of all bat species in Wallonia is estimated at well under 10 tonnes, less than 0.001% of total mammal biomass. Bats are therefore excluded from this model on the grounds that their inclusion would add noise without meaningfully changing any result. The Art.17 dataset (odwb.be) remains the reference source for anyone wishing to add them.</t>
  </si>
  <si>
    <t xml:space="preserve">Small mammals — why excluded</t>
  </si>
  <si>
    <t xml:space="preserve">Rodents (voles, mice, dormice, squirrels), shrews, hedgehogs, and moles are all present in Wallonia but are excluded from this model for two compounding reasons: no Wallonia-wide population counts exist for any of them, and their individual body weights are so low that even very large populations contribute negligible biomass.
To illustrate: a wood mouse (Apodemus sylvaticus) weighs ~22 grams. One million wood mice — a plausible rough order of magnitude for Wallonia given European density data — would have a combined biomass of 22 tonnes. By comparison, a single dairy cow weighs 600 kg, so 22 tonnes of wood mice is equivalent to just 37 dairy cows out of the 188,000 dairy cows in Wallonia. Put differently, you would need roughly 27 million wood mice to equal the biomass of a single percentage point of Wallonian cattle.
The same logic applies to voles (~25 g), shrews (~10 g), and hedgehogs (~900 g): even if populations ran to millions, their total contribution would remain below 0.01% of the cattle biomass alone. Including them would require fabricating population estimates with no reliable source, while adding no material change to any headline result. They are therefore explicitly excluded, not overlooked.</t>
  </si>
  <si>
    <t xml:space="preserve">Wallonia Mammal Biomass — Input Data (Reference year: 2022/2023)</t>
  </si>
  <si>
    <t xml:space="preserve">Category</t>
  </si>
  <si>
    <t xml:space="preserve">Species / Group</t>
  </si>
  <si>
    <t xml:space="preserve">Population Count</t>
  </si>
  <si>
    <t xml:space="preserve">Unit</t>
  </si>
  <si>
    <t xml:space="preserve">Avg Body Weight (kg)</t>
  </si>
  <si>
    <t xml:space="preserve">Weight Source</t>
  </si>
  <si>
    <t xml:space="preserve">Biomass (tonnes)</t>
  </si>
  <si>
    <t xml:space="preserve">Notes / Data Source</t>
  </si>
  <si>
    <t xml:space="preserve">HUMANS</t>
  </si>
  <si>
    <t xml:space="preserve">Humans</t>
  </si>
  <si>
    <t xml:space="preserve">Humans (all ages)</t>
  </si>
  <si>
    <t xml:space="preserve">individuals</t>
  </si>
  <si>
    <t xml:space="preserve">Age-stratified: Sciensano HIS 2018 (12 age groups × Belgian pop structure). See 'Human Biomass' sheet for detail. Effective weighted avg shown in col E.</t>
  </si>
  <si>
    <t xml:space="preserve">Total population from Statbel Census 2021 (T01_AGE_BE_NL.XLSX): 3,648,206. Source: statbel.fgov.be/nl/themas/bevolking/volkstellingen</t>
  </si>
  <si>
    <t xml:space="preserve">DOMESTIC MAMMALS (livestock)</t>
  </si>
  <si>
    <t xml:space="preserve">Domestic</t>
  </si>
  <si>
    <t xml:space="preserve">Cattle — calves for slaughter (&lt;1 yr)</t>
  </si>
  <si>
    <t xml:space="preserve">heads</t>
  </si>
  <si>
    <t xml:space="preserve">INBO (2024): runderen &lt;1 jaar, 200 kg</t>
  </si>
  <si>
    <t xml:space="preserve">Statbel agricultural census 2024 (DBREF-L05-2024-TAB-A-NL), code A111000, Waals Gewest. Weight: INBO Vlaanderen biomass indicator, category "runderen &lt;1 jaar" (200 kg). URL: vlaanderen.be/inbo/backgroundindicatoren/biomassa-grote-zoogdieren</t>
  </si>
  <si>
    <t xml:space="preserve">Cattle — other calves &lt;1 yr, male</t>
  </si>
  <si>
    <t xml:space="preserve">Statbel census 2024, code A112100, Waals Gewest. Weight: INBO category "runderen &lt;1 jaar" (200 kg).</t>
  </si>
  <si>
    <t xml:space="preserve">Cattle — other calves &lt;1 yr, female</t>
  </si>
  <si>
    <t xml:space="preserve">Statbel census 2024, code A112200, Waals Gewest. Weight: INBO category "runderen &lt;1 jaar" (200 kg).</t>
  </si>
  <si>
    <t xml:space="preserve">Cattle — young stock 1–2 yr, male</t>
  </si>
  <si>
    <t xml:space="preserve">INBO (2024): runderen 1–2 jaar, 455 kg</t>
  </si>
  <si>
    <t xml:space="preserve">Statbel census 2024, code A121000, Waals Gewest. Weight: INBO category "runderen 1–2 jaar" (455 kg).</t>
  </si>
  <si>
    <t xml:space="preserve">Cattle — young stock 1–2 yr, female for slaughter</t>
  </si>
  <si>
    <t xml:space="preserve">Statbel census 2024, code A122100, Waals Gewest. Weight: INBO category "runderen 1–2 jaar" (455 kg).</t>
  </si>
  <si>
    <t xml:space="preserve">Cattle — heifers 1–2 yr (not yet calved)</t>
  </si>
  <si>
    <t xml:space="preserve">Statbel census 2024, code A122200, Waals Gewest. Weight: INBO category "runderen 1–2 jaar" (455 kg).</t>
  </si>
  <si>
    <t xml:space="preserve">Cattle — bulls ≥2 yr</t>
  </si>
  <si>
    <t xml:space="preserve">INBO (2024): mannelijke runderen vanaf 2 jaar, 875 kg</t>
  </si>
  <si>
    <t xml:space="preserve">Statbel census 2024, code A131000, Waals Gewest. Weight: INBO category "mannelijke runderen vanaf 2 jaar" (875 kg). Reflects Belgian Blue bull weight (range 550–1,200 kg in INBO table).</t>
  </si>
  <si>
    <t xml:space="preserve">Cattle — heifers ≥2 yr, dairy type</t>
  </si>
  <si>
    <t xml:space="preserve">INBO (2024): vaarzen vanaf 2 jaar, 650 kg</t>
  </si>
  <si>
    <t xml:space="preserve">Statbel census 2024, code A132110, Waals Gewest. Weight: INBO category "vaarzen vanaf 2 jaar" (650 kg).</t>
  </si>
  <si>
    <t xml:space="preserve">Cattle — heifers ≥2 yr, beef type</t>
  </si>
  <si>
    <t xml:space="preserve">Statbel census 2024, code A132120, Waals Gewest. Weight: INBO category "vaarzen vanaf 2 jaar" (650 kg).</t>
  </si>
  <si>
    <t xml:space="preserve">Cattle — dairy cows in milk</t>
  </si>
  <si>
    <t xml:space="preserve">INBO (2024): koeien vanaf 2 jaar, 600 kg</t>
  </si>
  <si>
    <t xml:space="preserve">Statbel census 2024, code A132211, Waals Gewest. Weight: INBO category "koeien vanaf 2 jaar" (600 kg).</t>
  </si>
  <si>
    <t xml:space="preserve">Cattle — dairy cows dry</t>
  </si>
  <si>
    <t xml:space="preserve">Statbel census 2024, code A132212, Waals Gewest. Weight: INBO category "koeien vanaf 2 jaar" (600 kg).</t>
  </si>
  <si>
    <t xml:space="preserve">Cattle — beef cows, Belgian Blue &amp; similar</t>
  </si>
  <si>
    <t xml:space="preserve">Statbel census 2024, code A132221, Waals Gewest. Weight: INBO category "koeien vanaf 2 jaar" (600 kg). Note: Belgian Blue avg live weight ~650 kg but INBO uses 600 kg for all cows ≥2yr; INBO weight applied for consistency.</t>
  </si>
  <si>
    <t xml:space="preserve">Cattle — beef cows, other breeds</t>
  </si>
  <si>
    <t xml:space="preserve">Statbel census 2024, code A132222, Waals Gewest. Weight: INBO category "koeien vanaf 2 jaar" (600 kg).</t>
  </si>
  <si>
    <t xml:space="preserve">Pigs (all categories)</t>
  </si>
  <si>
    <t xml:space="preserve">SANITEL weight classes: sows ~110 kg, fattening pigs ~114 kg, breeding 50+ kg ~85 kg → blended ~82 kg</t>
  </si>
  <si>
    <t xml:space="preserve">Statbel / État Agriculture Wallonne 2023: 342,382 pigs</t>
  </si>
  <si>
    <t xml:space="preserve">Horses &amp; equids</t>
  </si>
  <si>
    <t xml:space="preserve">Standard average 450–550 kg for mixed horse population; 500 kg used</t>
  </si>
  <si>
    <t xml:space="preserve">État de l'environnement wallon / SPW ARNE-DEMNA 2023: 101,000 equids</t>
  </si>
  <si>
    <t xml:space="preserve">Sheep &amp; goats</t>
  </si>
  <si>
    <t xml:space="preserve">Sheep IPCC Tier 1 Western Europe 55–65 kg; goats ~45 kg; blended ~58 kg</t>
  </si>
  <si>
    <t xml:space="preserve">Statbel 2023: ~120,000 sheep + ~15,000 goats (estimated)</t>
  </si>
  <si>
    <t xml:space="preserve">WILD MAMMALS</t>
  </si>
  <si>
    <t xml:space="preserve">Wild</t>
  </si>
  <si>
    <t xml:space="preserve">Red deer (cerf élaphe)</t>
  </si>
  <si>
    <t xml:space="preserve">Stags ~150 kg, hinds ~80 kg, calves ~50 kg; population mix → ~100 kg average</t>
  </si>
  <si>
    <t xml:space="preserve">État de l'environnement wallon (SPW ARNE-DNF, 2018): ~8,000 cerfs au printemps avant naissances (2015). Declining 6%/yr from 2010 peak. Previous figure of 18,500 was erroneous. Source: etat.environnement.wallonie.be — fiche 'Évolution ongulés sauvages' 09/01/2018.</t>
  </si>
  <si>
    <t xml:space="preserve">Roe deer (chevreuil)</t>
  </si>
  <si>
    <t xml:space="preserve">Bucks ~25 kg, does ~19 kg, fawns ~10 kg; population mix → ~22 kg</t>
  </si>
  <si>
    <t xml:space="preserve">État de l'environnement wallon (SPW ARNE-DNF, 2018): ~25,000 chevreuils au printemps avant naissances (2016). Declining 3%/yr from 2005 peak of ~38,000. Previous figure of 40,000 was the historical peak. Source: etat.environnement.wallonie.be — fiche 'Évolution ongulés sauvages' 09/01/2018.</t>
  </si>
  <si>
    <t xml:space="preserve">Wild boar (sanglier)</t>
  </si>
  <si>
    <t xml:space="preserve">Adults ~80 kg, 1-yr ~40 kg, piglets ~10 kg; spring pre-birth mix → ~62 kg</t>
  </si>
  <si>
    <t xml:space="preserve">État de l'environnement wallon (SPW ARNE-DNF, 2018): 17,994 sangliers au printemps avant naissances (2015). Declining 6%/yr from 2012 peak of 25,647. Source: etat.environnement.wallonie.be — fiche 'Évolution ongulés sauvages' 09/01/2018.</t>
  </si>
  <si>
    <t xml:space="preserve">Eurasian badger (blaireau)</t>
  </si>
  <si>
    <t xml:space="preserve">Adult badger 8–14 kg; avg 11 kg (Griffiths &amp; Thomas 1997)</t>
  </si>
  <si>
    <t xml:space="preserve">État de l'environnement wallon (SPW-DGO3-DEMNA/ULg 2018): ~5,000 individuals (extrapolation from ~1,750 sett survey, 2014, stable 2010–2016). Source: etat.environnement.wallonie.be — fiche 'État des populations de mammifères non volants' 09/01/2018.</t>
  </si>
  <si>
    <t xml:space="preserve">Wildcat (chat sauvage)</t>
  </si>
  <si>
    <t xml:space="preserve">Adult wildcat 3–6 kg; avg 4.5 kg (Piechocki 1990)</t>
  </si>
  <si>
    <t xml:space="preserve">ODWB/SPW ARNE Art.17 HD reporting (2019–2024 cycle): 1,000–5,000 individuals, continental region. Central est. 3,000. Status: inadéquat. Ardennes only. Source: odwb.be dataset 'état de conservation espèces Natura 2000', code 1363.</t>
  </si>
  <si>
    <t xml:space="preserve">Pine marten (martre des pins)</t>
  </si>
  <si>
    <t xml:space="preserve">Adult pine marten 0.9–2.2 kg; avg 1.5 kg (Birks &amp; Messenger 2010)</t>
  </si>
  <si>
    <t xml:space="preserve">ODWB/SPW ARNE Art.17 HD reporting (2019–2024 cycle): continental 1,000–5,000 + atlantic 100–500. Combined central est. ~3,300. Status: favorable (continental), inadéquat (atlantic). Source: odwb.be dataset 'état de conservation espèces Natura 2000', code 1357.</t>
  </si>
  <si>
    <t xml:space="preserve">Wolf (loup)</t>
  </si>
  <si>
    <t xml:space="preserve">European wolf 25–45 kg; avg 38 kg (Mech &amp; Boitani 2003)</t>
  </si>
  <si>
    <t xml:space="preserve">ODWB/SPW ARNE Art.17 HD reporting (2019–2024 cycle): 0–50 individuals; 3 packs confirmed (01/06/2025). Central est. 25. Continental region. Status: favorable. Source: odwb.be dataset 'état de conservation espèces Natura 2000', code 1352.</t>
  </si>
  <si>
    <t xml:space="preserve">Otter (loutre)</t>
  </si>
  <si>
    <t xml:space="preserve">Eurasian otter 5–12 kg; avg 8 kg (Kruuk 2006)</t>
  </si>
  <si>
    <t xml:space="preserve">ODWB/SPW ARNE Art.17 HD reporting (2019–2024 cycle): ~25 individuals. EEW 2018 notes 'effectifs extrêmement réduits, sous-détection probable'. Status: inadéquat. Source: odwb.be dataset 'état de conservation espèces Natura 2000', code 1355.</t>
  </si>
  <si>
    <t xml:space="preserve">Human Biomass — Wallonia 2021: Age-Stratified Calculation</t>
  </si>
  <si>
    <t xml:space="preserve">Population by age group: direct counts from Statbel Census 2021 (Census — Bevolking volgens geslacht en leeftijd). Source: https://statbel.fgov.be/nl/themas/census/bevolking/leeftijd#figures — file T01_AGE_BE_NL.XLSX, sheet CENSUS_T01_2021_BE_AGE_2021, Waals Gewest. All figures are official census counts — no estimation or proportional distribution. Note on 2021 vs 2023 population: the 2023 Statbel population register gives 3,686,929 for Wallonia vs 3,648,206 in the 2021 Census — a difference of +38,723 (+1.06%). This gap is within the uncertainty of the body weight assumptions and does not materially affect results. The Census is used here as it provides a verified age-structure breakdown by 5-year band. Body weights: Sciensano HIS 2018 (combined M+F, Belgian average). HIS 2018 publishes one weight for the combined 15–24 group (70.5 kg); this is applied equally to the 15–19 and 20–24 census bands.</t>
  </si>
  <si>
    <t xml:space="preserve">Age group</t>
  </si>
  <si>
    <t xml:space="preserve">Population (Wallonia, Census 2021)</t>
  </si>
  <si>
    <t xml:space="preserve">Population source</t>
  </si>
  <si>
    <t xml:space="preserve">Avg body weight (kg)</t>
  </si>
  <si>
    <t xml:space="preserve">Weight source (HIS 2018)</t>
  </si>
  <si>
    <t xml:space="preserve">% of total human biomass</t>
  </si>
  <si>
    <t xml:space="preserve">Notes</t>
  </si>
  <si>
    <t xml:space="preserve">0–4</t>
  </si>
  <si>
    <t xml:space="preserve">Statbel Census 2021 — Census: Bevolking volgens geslacht en leeftijd. URL: https://statbel.fgov.be/nl/themas/census/bevolking/leeftijd#figures (file T01_AGE_BE_NL.XLSX, Waals Gewest, Totaal row). Direct census count.</t>
  </si>
  <si>
    <t xml:space="preserve">Sciensano HIS 2018 (Belgium/Wallonia combined M+F)</t>
  </si>
  <si>
    <t xml:space="preserve">WHO child growth standards; Belgian paediatric growth curves (VUB/ULB). Mid-point 0–4: ~4 kg birth → ~18 kg at 4 yr.</t>
  </si>
  <si>
    <t xml:space="preserve">5–9</t>
  </si>
  <si>
    <t xml:space="preserve">WHO child growth standards. Approx. 20 kg at 5 yr → 34 kg at 9 yr.</t>
  </si>
  <si>
    <t xml:space="preserve">10–14</t>
  </si>
  <si>
    <t xml:space="preserve">WHO child growth standards; Sciensano HIS 2018 (adjusted). Growth acceleration: ~42 kg at 10 → ~58 kg at 14.</t>
  </si>
  <si>
    <t xml:space="preserve">15–19</t>
  </si>
  <si>
    <t xml:space="preserve">Sciensano HIS 2018: 15–24 age group average (70.5 kg). Same weight applied to 15–19 and 20–24 — HIS 2018 does not distinguish within this band. Males ~78 kg, females ~63 kg.</t>
  </si>
  <si>
    <t xml:space="preserve">20–24</t>
  </si>
  <si>
    <t xml:space="preserve">Sciensano HIS 2018: 15–24 age group average (70.5 kg). Same weight as 15–19 — HIS 2018 does not distinguish within this band.</t>
  </si>
  <si>
    <t xml:space="preserve">25–34</t>
  </si>
  <si>
    <t xml:space="preserve">Sciensano HIS 2018: 25–34 age group. Males ~84 kg, females ~67 kg → combined 75.5 kg.</t>
  </si>
  <si>
    <t xml:space="preserve">35–44</t>
  </si>
  <si>
    <t xml:space="preserve">Sciensano HIS 2018: 35–44 age group. Males ~87 kg, females ~71 kg → combined 79 kg.</t>
  </si>
  <si>
    <t xml:space="preserve">45–54</t>
  </si>
  <si>
    <t xml:space="preserve">Sciensano HIS 2018: 45–54 age group. Peak average weight group. Males ~90 kg, females ~74 kg → combined 82 kg.</t>
  </si>
  <si>
    <t xml:space="preserve">55–64</t>
  </si>
  <si>
    <t xml:space="preserve">Sciensano HIS 2018: 55–64 age group. Males ~89 kg, females ~76 kg → combined 82.5 kg.</t>
  </si>
  <si>
    <t xml:space="preserve">65–74</t>
  </si>
  <si>
    <t xml:space="preserve">Sciensano HIS 2018: 65–74 age group. Males ~85 kg, females ~74 kg → combined 79.5 kg.</t>
  </si>
  <si>
    <t xml:space="preserve">75–84</t>
  </si>
  <si>
    <t xml:space="preserve">Sciensano HIS 2018: 75–84 age group. Decline due to muscle loss (sarcopenia). Males ~79 kg, females ~68 kg → combined 73.5 kg.</t>
  </si>
  <si>
    <t xml:space="preserve">85+</t>
  </si>
  <si>
    <t xml:space="preserve">Sciensano HIS 2018: 85+ group. Significant sarcopenia; lower BMI at oldest ages. Males ~71 kg, females ~62 kg → combined 66 kg. Sum of Statbel 85–89 + 90–94 + 95+ bands.</t>
  </si>
  <si>
    <t xml:space="preserve">Subtotal  0–14</t>
  </si>
  <si>
    <t xml:space="preserve">Subtotal 15–64</t>
  </si>
  <si>
    <t xml:space="preserve">Subtotal 65+</t>
  </si>
  <si>
    <t xml:space="preserve">GRAND TOTAL — Humans (Wallonia)</t>
  </si>
  <si>
    <t xml:space="preserve">100.00%</t>
  </si>
  <si>
    <t xml:space="preserve">Validation — Total vs Confirmed Statbel Census 2021 Figure</t>
  </si>
  <si>
    <t xml:space="preserve">Our sum</t>
  </si>
  <si>
    <t xml:space="preserve">Statbel Census 2021</t>
  </si>
  <si>
    <t xml:space="preserve">Difference</t>
  </si>
  <si>
    <t xml:space="preserve">Difference (%)</t>
  </si>
  <si>
    <t xml:space="preserve">0–14</t>
  </si>
  <si>
    <t xml:space="preserve">15–64</t>
  </si>
  <si>
    <t xml:space="preserve">65+</t>
  </si>
  <si>
    <t xml:space="preserve">Total</t>
  </si>
  <si>
    <t xml:space="preserve">Human Biomass — Brussels Capital Region 2021: Age-Stratified Calculation</t>
  </si>
  <si>
    <t xml:space="preserve">Population by age group: direct counts from Statbel Census 2021 (Census — Bevolking volgens geslacht en leeftijd). Source: https://statbel.fgov.be/nl/themas/census/bevolking/leeftijd#figures — file T01_AGE_BE_NL.XLSX, sheet CENSUS_T01_2021_BE_AGE_2021, Brussels Hoofdstedelijk Gewest. All figures are official census counts — no estimation or proportional distribution. Note on 2021 vs 2023 population: the 2023 Statbel population register gives 1,211,866 for Brussels vs 1,219,970 in the 2021 Census — a difference of −8,104 (−0.66%). This gap is within the uncertainty of the body weight assumptions and does not materially affect results. The Census is used here as it provides a verified age-structure breakdown by 5-year band. Body weights: Sciensano HIS 2018 (combined M+F, Belgian average). HIS 2018 publishes one weight for the combined 15–24 group (70.5 kg); this is applied equally to the 15–19 and 20–24 census bands.</t>
  </si>
  <si>
    <t xml:space="preserve">Population (Brussels, Census 2021)</t>
  </si>
  <si>
    <t xml:space="preserve">Statbel Census 2021 — Census: Bevolking volgens geslacht en leeftijd. URL: https://statbel.fgov.be/nl/themas/census/bevolking/leeftijd#figures (file T01_AGE_BE_NL.XLSX, Brussels Hoofdstedelijk Gewest, Totaal row). Direct census count.</t>
  </si>
  <si>
    <t xml:space="preserve">WHO child growth standards; Belgian paediatric growth curves (VUB/ULB).</t>
  </si>
  <si>
    <t xml:space="preserve">WHO child growth standards.</t>
  </si>
  <si>
    <t xml:space="preserve">WHO child growth standards; Sciensano HIS 2018 (adjusted).</t>
  </si>
  <si>
    <t xml:space="preserve">Sciensano HIS 2018: 15–24 age group average (70.5 kg). Same weight applied to 15–19 and 20–24 — HIS 2018 does not distinguish within this band.</t>
  </si>
  <si>
    <t xml:space="preserve">Sciensano HIS 2018: 15–24 age group average (70.5 kg). Same weight as 15–19.</t>
  </si>
  <si>
    <t xml:space="preserve">Sciensano HIS 2018: 45–54 age group. Males ~90 kg, females ~74 kg → combined 82 kg.</t>
  </si>
  <si>
    <t xml:space="preserve">Sciensano HIS 2018: 75–84 age group. Males ~79 kg, females ~68 kg → combined 73.5 kg.</t>
  </si>
  <si>
    <t xml:space="preserve">Sciensano HIS 2018: 85+ group. Sum of Statbel 85–89 + 90–94 + 95+ bands.</t>
  </si>
  <si>
    <t xml:space="preserve">GRAND TOTAL — Humans (Brussels Capital Region)</t>
  </si>
  <si>
    <t xml:space="preserve">Brussels Capital Region Mammal Biomass — Input Data (Reference year: 2023)</t>
  </si>
  <si>
    <t xml:space="preserve">Age-stratified: Sciensano HIS 2018 (12 age groups × Belgian pop structure). See Human Biomass Brussels sheet.</t>
  </si>
  <si>
    <t xml:space="preserve">Total population from Statbel Census 2021 (T01_AGE_BE_NL.XLSX): 1,219,970. Source: statbel.fgov.be/nl/themas/bevolking/volkstellingen</t>
  </si>
  <si>
    <t xml:space="preserve">Statbel agricultural census 2024 (DBREF-L05-2024-TAB-A-NL, code A111000, Brussels Gewest). Count distributed from Brussels &lt;1yr total (256) using Belgian national proportions. Source: statbel.fgov.be/nl/themas/landbouw-visserij/land-en-tuinbouwbedrijven, Tab A landbouwcijfers 2024.</t>
  </si>
  <si>
    <t xml:space="preserve">Statbel 2024, code A112100, Brussels. Distributed from Brussels total using Belgian proportions.</t>
  </si>
  <si>
    <t xml:space="preserve">Statbel 2024, code A112200, Brussels. Distributed from Brussels total using Belgian proportions.</t>
  </si>
  <si>
    <t xml:space="preserve">Statbel 2024, code A121000, Brussels. Distributed from Brussels 1-2yr total (212) using Belgian proportions.</t>
  </si>
  <si>
    <t xml:space="preserve">Statbel 2024, code A122100, Brussels. Distributed from Brussels total using Belgian proportions.</t>
  </si>
  <si>
    <t xml:space="preserve">Statbel 2024, code A122200, Brussels. Distributed from Brussels total using Belgian proportions.</t>
  </si>
  <si>
    <t xml:space="preserve">Statbel 2024, code A131000, Brussels: 14 bulls.</t>
  </si>
  <si>
    <t xml:space="preserve">Statbel 2024, code A132110, Brussels. Distributed from heifers ≥2yr using Belgian proportions.</t>
  </si>
  <si>
    <t xml:space="preserve">Statbel 2024, code A132120, Brussels. Distributed from heifers ≥2yr using Belgian proportions.</t>
  </si>
  <si>
    <t xml:space="preserve">Statbel 2024, code A132211, Brussels: 256 dairy cows (A132210 total used as proxy; dry split negligible).</t>
  </si>
  <si>
    <t xml:space="preserve">Statbel 2024: Brussels dairy dry cows not separately published; included in dairy total above.</t>
  </si>
  <si>
    <t xml:space="preserve">Statbel 2024, code A132221, Brussels. Distributed from beef cow total (249) using Belgian proportions (192473/213178 = 90.3% Belgian Blue). Count: round(249×0.903)=225, adjusted to 192 (Statbel direct read).</t>
  </si>
  <si>
    <t xml:space="preserve">Statbel 2024, code A132222, Brussels: 249 beef cows total − 192 Belgian Blue = 57 other breeds.</t>
  </si>
  <si>
    <t xml:space="preserve">Wild mammals (all species)</t>
  </si>
  <si>
    <t xml:space="preserve">No population estimates available for Brussels Capital Region</t>
  </si>
  <si>
    <t xml:space="preserve">Assumed negligible. No official population estimates exist for wild mammals in the Brussels Capital Region. A theoretical upper-bound calculation (150 roe deer in Forêt de Soignes, 500 foxes, 300 stone martens, 2,000 rabbits) yields ~10 tonnes total — 0.01% of human biomass in Brussels. The main wild mammal habitat is the Brussels portion of Forêt de Soignes (~2,000 ha), but no systematic census data is published by Bruxelles Environnement for mammal populations. Wild mammals are therefore set to zero; this introduces an error of &lt;0.01% on the total. Source for assessment: Bruxelles Environnement, biodiversite.brussels (presence data only, no counts).</t>
  </si>
  <si>
    <t xml:space="preserve">Wallonia Mammal Biomass — Results &amp; Comparison with Global and Flemish Benchmarks</t>
  </si>
  <si>
    <t xml:space="preserve">Section 1 — Wallonia: Total Biomass by Category (tonnes)</t>
  </si>
  <si>
    <t xml:space="preserve">Species / Components</t>
  </si>
  <si>
    <t xml:space="preserve">Share of total (%)</t>
  </si>
  <si>
    <t xml:space="preserve">Low estimate (tonnes)</t>
  </si>
  <si>
    <t xml:space="preserve">High estimate (tonnes)</t>
  </si>
  <si>
    <t xml:space="preserve">All 3,695,000 Walloon inhabitants</t>
  </si>
  <si>
    <t xml:space="preserve">Statbel 2023. Low/high = ±7% body weight uncertainty</t>
  </si>
  <si>
    <t xml:space="preserve">Domestic mammals</t>
  </si>
  <si>
    <t xml:space="preserve">Cattle (all categories — 13 sub-rows per Statbel 2024)</t>
  </si>
  <si>
    <t xml:space="preserve">Statbel / SANITEL 2023. Low = lighter IPCC defaults; high = heavier Belgian Blue weights</t>
  </si>
  <si>
    <t xml:space="preserve">Pigs</t>
  </si>
  <si>
    <t xml:space="preserve">Statbel 2023. Low = 65 kg average; high = 110 kg average</t>
  </si>
  <si>
    <t xml:space="preserve">SPW ARNE 2023. Range 400–600 kg average weight</t>
  </si>
  <si>
    <t xml:space="preserve">Statbel 2023 estimate</t>
  </si>
  <si>
    <t xml:space="preserve">Wild mammals</t>
  </si>
  <si>
    <t xml:space="preserve">Red deer</t>
  </si>
  <si>
    <t xml:space="preserve">Low=4,000×100kg; High=16,000×100kg (÷2/×2 of EEW 2018 central, per INBO practice)</t>
  </si>
  <si>
    <t xml:space="preserve">Roe deer</t>
  </si>
  <si>
    <t xml:space="preserve">Low=12,500×22kg; High=50,000×22kg (÷2/×2 of EEW 2018 central)</t>
  </si>
  <si>
    <t xml:space="preserve">Wild boar</t>
  </si>
  <si>
    <t xml:space="preserve">Low=9,000×62kg; High=36,000×62kg (÷2/×2 of EEW 2018 central)</t>
  </si>
  <si>
    <t xml:space="preserve">Badger</t>
  </si>
  <si>
    <t xml:space="preserve">Low=2,500×11kg; High=10,000×11kg (±100% INBO practice). EEW 2018 / SPW-DEMNA/ULg.</t>
  </si>
  <si>
    <t xml:space="preserve">Wildcat</t>
  </si>
  <si>
    <t xml:space="preserve">Low=500×4.5kg; High=5,000×4.5kg (Art.17 range)</t>
  </si>
  <si>
    <t xml:space="preserve">Pine marten</t>
  </si>
  <si>
    <t xml:space="preserve">Low=100×1.5kg; High=5,000×1.5kg (Art.17 range)</t>
  </si>
  <si>
    <t xml:space="preserve">Wolf</t>
  </si>
  <si>
    <t xml:space="preserve">Low=0; High=50×38kg (Art.17 range)</t>
  </si>
  <si>
    <t xml:space="preserve">Otter</t>
  </si>
  <si>
    <t xml:space="preserve">Low~0; High=50×8kg (very uncertain, likely &lt;1t)</t>
  </si>
  <si>
    <t xml:space="preserve">SUBTOTALS</t>
  </si>
  <si>
    <t xml:space="preserve">TOTAL — Humans</t>
  </si>
  <si>
    <t xml:space="preserve">TOTAL — Domestic mammals</t>
  </si>
  <si>
    <t xml:space="preserve">TOTAL — Wild mammals</t>
  </si>
  <si>
    <t xml:space="preserve">GRAND TOTAL — All mammals</t>
  </si>
  <si>
    <t xml:space="preserve">Section 2 — Comparison: Wild Mammal Share Across Geographies</t>
  </si>
  <si>
    <t xml:space="preserve">Geography</t>
  </si>
  <si>
    <t xml:space="preserve">Global</t>
  </si>
  <si>
    <t xml:space="preserve">4%</t>
  </si>
  <si>
    <t xml:space="preserve">60%</t>
  </si>
  <si>
    <t xml:space="preserve">36%</t>
  </si>
  <si>
    <t xml:space="preserve">Bar-On, Phillips &amp; Milo (PNAS 2018)</t>
  </si>
  <si>
    <t xml:space="preserve">2018</t>
  </si>
  <si>
    <t xml:space="preserve">Includes marine mammals</t>
  </si>
  <si>
    <t xml:space="preserve">Flanders (Belgium)</t>
  </si>
  <si>
    <t xml:space="preserve">&lt;0.1%</t>
  </si>
  <si>
    <t xml:space="preserve">&gt;85%</t>
  </si>
  <si>
    <t xml:space="preserve">~14%</t>
  </si>
  <si>
    <t xml:space="preserve">INBO Natuurrapport 2020</t>
  </si>
  <si>
    <t xml:space="preserve">2020</t>
  </si>
  <si>
    <t xml:space="preserve">Terrestrial large mammals only (cattle, pigs, humans, deer, boar)</t>
  </si>
  <si>
    <t xml:space="preserve">Wallonia (Belgium)</t>
  </si>
  <si>
    <t xml:space="preserve">This calculation — Belgium Environment Tracker</t>
  </si>
  <si>
    <t xml:space="preserve">2022/2023</t>
  </si>
  <si>
    <t xml:space="preserve">Terrestrial large mammals only. Central estimate ~0.3–0.6%; range ~0.1–1.5%</t>
  </si>
  <si>
    <t xml:space="preserve">KEY FINDING:  Wild mammals represent approximately 0.3–0.6% of total mammal biomass in Wallonia (central estimate), vs &lt;0.1% in Flanders and 4% globally.  Wallonia scores higher because of much lower pig density and a larger wild ungulate population in the Ardennes (particularly red deer ~18,500 and wild boar ~25,000 spring pre-birth). Even so, livestock and humans overwhelmingly dominate — the same fundamental pattern as globally, just slightly less extreme than in hyper-intensive Flanders.</t>
  </si>
  <si>
    <t xml:space="preserve">Brussels Capital Region Mammal Biomass — Results &amp; Comparison</t>
  </si>
  <si>
    <t xml:space="preserve">Section 1 — Brussels: Total Biomass by Category (tonnes)</t>
  </si>
  <si>
    <t xml:space="preserve">All 1,211,866 Brussels inhabitants</t>
  </si>
  <si>
    <t xml:space="preserve">Statbel agricultural census 2024 (DBREF-L05-2024-TAB-A-NL, col N Brussels Gewest). URL: statbel.fgov.be/nl/themas/landbouw-visserij/land-en-tuinbouwbedrijven, Tab A landbouwcijfers 2024. Weights: INBO Vlaanderen biomass indicator.</t>
  </si>
  <si>
    <t xml:space="preserve">Statbel 2024: 2 pigs recorded in Brussels. Biomass &lt;1 kg — set to 0.</t>
  </si>
  <si>
    <t xml:space="preserve">Statbel 2024: no horses reported for Brussels Capital Region.</t>
  </si>
  <si>
    <t xml:space="preserve">Statbel 2024: no sheep or goats reported for Brussels Capital Region.</t>
  </si>
  <si>
    <t xml:space="preserve">All wild species (assumed negligible)</t>
  </si>
  <si>
    <t xml:space="preserve">No population estimates available. Theoretical upper bound ~10t (150 roe deer + 500 foxes + 300 stone martens + 2,000 rabbits). See Input Data Brussels row 20 for full justification.</t>
  </si>
  <si>
    <t xml:space="preserve">Brussels (Belgium)</t>
  </si>
  <si>
    <t xml:space="preserve">2023</t>
  </si>
  <si>
    <t xml:space="preserve">Urban region. Wild mammals assumed negligible (&lt;0.01% of total).</t>
  </si>
  <si>
    <t xml:space="preserve">KEY FINDING: Brussels Capital Region is overwhelmingly dominated by human biomass (~99%). Livestock (cattle only: 1,119 head) contributes &lt;1% of total mammal biomass. Wild mammal biomass is assumed negligible (&lt;10 t upper bound) given the absence of published population estimates and the urban character of the region. This contrasts sharply with Wallonia (livestock 68%, humans 32%, wild 0.3%) and reflects the absence of intensive agriculture and large forest areas.</t>
  </si>
  <si>
    <t xml:space="preserve">Sensitivity Analysis — Wild Mammal Share Under Different Population Assumptions</t>
  </si>
  <si>
    <t xml:space="preserve">Wild mammal population estimates are the main source of uncertainty. This table shows the wild mammal biomass share under low / central / high assumptions. A ±100% error margin is used (INBO practice), as these are rough field estimates.</t>
  </si>
  <si>
    <t xml:space="preserve">Species</t>
  </si>
  <si>
    <t xml:space="preserve">Low count</t>
  </si>
  <si>
    <t xml:space="preserve">Central count</t>
  </si>
  <si>
    <t xml:space="preserve">High count</t>
  </si>
  <si>
    <t xml:space="preserve">Avg weight (kg)</t>
  </si>
  <si>
    <t xml:space="preserve">Source / rationale</t>
  </si>
  <si>
    <t xml:space="preserve">Central from Rapport Cerf 2022–2023 (18,000–19,000). Low/high = ÷2 / ×2</t>
  </si>
  <si>
    <t xml:space="preserve">Spring population declining from 2005 peak of ~60,000. Low/high = ÷2 / ×2</t>
  </si>
  <si>
    <t xml:space="preserve">Spring pre-birth estimate from DNF. Highly variable. Low/high = ÷2 / ×2</t>
  </si>
  <si>
    <t xml:space="preserve">Wild Mammal Share (%) Under Different Combined Assumptions</t>
  </si>
  <si>
    <t xml:space="preserve">Scenario</t>
  </si>
  <si>
    <t xml:space="preserve">Wild biomass (t)</t>
  </si>
  <si>
    <t xml:space="preserve">Wild share (% of all mammals)</t>
  </si>
  <si>
    <t xml:space="preserve">Low — all species</t>
  </si>
  <si>
    <t xml:space="preserve">Central — base case</t>
  </si>
  <si>
    <t xml:space="preserve">High — all species</t>
  </si>
  <si>
    <t xml:space="preserve">Low deer, high boar</t>
  </si>
  <si>
    <t xml:space="preserve">Low ungulates, high others</t>
  </si>
  <si>
    <t xml:space="preserve">High ungulates, low others</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</si>
</sst>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0000"/>
    <numFmt numFmtId="169" formatCode="0.000%"/>
    <numFmt numFmtId="170" formatCode="0.0000%"/>
  </numFmts>
  <fonts count="13">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0"/>
      <color rgb="FF1F3864"/>
      <name val="Calibri"/>
      <family val="0"/>
      <charset val="1"/>
    </font>
    <font>
      <sz val="10"/>
      <color rgb="FF000000"/>
      <name val="Calibri"/>
      <family val="0"/>
      <charset val="1"/>
    </font>
    <font>
      <b val="true"/>
      <sz val="10"/>
      <color rgb="FFFFFFFF"/>
      <name val="Calibri"/>
      <family val="0"/>
      <charset val="1"/>
    </font>
    <font>
      <sz val="10"/>
      <color rgb="FF1F3864"/>
      <name val="Calibri"/>
      <family val="0"/>
      <charset val="1"/>
    </font>
    <font>
      <sz val="9"/>
      <color rgb="FF595959"/>
      <name val="Calibri"/>
      <family val="0"/>
      <charset val="1"/>
    </font>
    <font>
      <sz val="10"/>
      <name val="Calibri"/>
      <family val="0"/>
      <charset val="1"/>
    </font>
    <font>
      <sz val="10"/>
      <color rgb="FF0000FF"/>
      <name val="Calibri"/>
      <family val="0"/>
      <charset val="1"/>
    </font>
    <font>
      <sz val="10"/>
      <color rgb="FF595959"/>
      <name val="Calibri"/>
      <family val="0"/>
      <charset val="1"/>
    </font>
  </fonts>
  <fills count="12">
    <fill>
      <patternFill patternType="none"/>
    </fill>
    <fill>
      <patternFill patternType="gray125"/>
    </fill>
    <fill>
      <patternFill patternType="solid">
        <fgColor rgb="FF1F3864"/>
        <bgColor rgb="FF333333"/>
      </patternFill>
    </fill>
    <fill>
      <patternFill patternType="solid">
        <fgColor rgb="FFD6E4F7"/>
        <bgColor rgb="FFDCE6F1"/>
      </patternFill>
    </fill>
    <fill>
      <patternFill patternType="solid">
        <fgColor rgb="FFFFFFFF"/>
        <bgColor rgb="FFF9F9F9"/>
      </patternFill>
    </fill>
    <fill>
      <patternFill patternType="solid">
        <fgColor rgb="FFE8E8E8"/>
        <bgColor rgb="FFDCE6F1"/>
      </patternFill>
    </fill>
    <fill>
      <patternFill patternType="solid">
        <fgColor rgb="FFF5F5F5"/>
        <bgColor rgb="FFF9F9F9"/>
      </patternFill>
    </fill>
    <fill>
      <patternFill patternType="solid">
        <fgColor rgb="FFF9F9F9"/>
        <bgColor rgb="FFF5F5F5"/>
      </patternFill>
    </fill>
    <fill>
      <patternFill patternType="solid">
        <fgColor rgb="FFDCE6F1"/>
        <bgColor rgb="FFD6E4F7"/>
      </patternFill>
    </fill>
    <fill>
      <patternFill patternType="solid">
        <fgColor rgb="FFFCE4D6"/>
        <bgColor rgb="FFFFF2CC"/>
      </patternFill>
    </fill>
    <fill>
      <patternFill patternType="solid">
        <fgColor rgb="FFFFF2CC"/>
        <bgColor rgb="FFFCE4D6"/>
      </patternFill>
    </fill>
    <fill>
      <patternFill patternType="solid">
        <fgColor rgb="FFE2EFDA"/>
        <bgColor rgb="FFE8E8E8"/>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5" fillId="3" borderId="0" xfId="0" applyFont="true" applyBorder="fals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5" fillId="5"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5" fontId="8" fillId="6" borderId="1" xfId="0" applyFont="true" applyBorder="true" applyAlignment="true" applyProtection="false">
      <alignment horizontal="right"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6" fontId="8" fillId="6" borderId="1" xfId="0" applyFont="true" applyBorder="true" applyAlignment="true" applyProtection="false">
      <alignment horizontal="right" vertical="top" textRotation="0" wrapText="fals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5" fontId="8" fillId="4" borderId="1" xfId="0" applyFont="true" applyBorder="true" applyAlignment="true" applyProtection="false">
      <alignment horizontal="right" vertical="top" textRotation="0" wrapText="fals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6" fontId="8" fillId="4" borderId="1" xfId="0" applyFont="true" applyBorder="true" applyAlignment="true" applyProtection="false">
      <alignment horizontal="right" vertical="top" textRotation="0" wrapText="fals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5" fontId="8" fillId="6" borderId="0" xfId="0" applyFont="true" applyBorder="false" applyAlignment="true" applyProtection="false">
      <alignment horizontal="right" vertical="top" textRotation="0" wrapText="false" indent="0" shrinkToFit="false"/>
      <protection locked="true" hidden="false"/>
    </xf>
    <xf numFmtId="164" fontId="6" fillId="6" borderId="0" xfId="0" applyFont="true" applyBorder="false" applyAlignment="true" applyProtection="false">
      <alignment horizontal="center" vertical="top" textRotation="0" wrapText="true" indent="0" shrinkToFit="false"/>
      <protection locked="true" hidden="false"/>
    </xf>
    <xf numFmtId="166" fontId="8" fillId="6" borderId="0" xfId="0" applyFont="true" applyBorder="false" applyAlignment="true" applyProtection="false">
      <alignment horizontal="right" vertical="top" textRotation="0" wrapText="false" indent="0" shrinkToFit="false"/>
      <protection locked="true" hidden="false"/>
    </xf>
    <xf numFmtId="164" fontId="9" fillId="6" borderId="0" xfId="0" applyFont="true" applyBorder="fals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xf numFmtId="165" fontId="8" fillId="4" borderId="0" xfId="0" applyFont="true" applyBorder="false" applyAlignment="true" applyProtection="false">
      <alignment horizontal="right" vertical="top" textRotation="0" wrapText="false" indent="0" shrinkToFit="false"/>
      <protection locked="true" hidden="false"/>
    </xf>
    <xf numFmtId="164" fontId="6" fillId="4" borderId="0" xfId="0" applyFont="true" applyBorder="false" applyAlignment="true" applyProtection="false">
      <alignment horizontal="center" vertical="top" textRotation="0" wrapText="true" indent="0" shrinkToFit="false"/>
      <protection locked="true" hidden="false"/>
    </xf>
    <xf numFmtId="166" fontId="8" fillId="4" borderId="0" xfId="0" applyFont="true" applyBorder="false" applyAlignment="true" applyProtection="false">
      <alignment horizontal="right" vertical="top" textRotation="0" wrapText="false" indent="0" shrinkToFit="false"/>
      <protection locked="true" hidden="false"/>
    </xf>
    <xf numFmtId="164" fontId="9" fillId="4" borderId="0" xfId="0" applyFont="true" applyBorder="false" applyAlignment="true" applyProtection="false">
      <alignment horizontal="left" vertical="top" textRotation="0" wrapText="true" indent="0" shrinkToFit="false"/>
      <protection locked="true" hidden="false"/>
    </xf>
    <xf numFmtId="164" fontId="5" fillId="5" borderId="0" xfId="0" applyFont="true" applyBorder="false" applyAlignment="true" applyProtection="false">
      <alignment horizontal="left" vertical="top" textRotation="0" wrapText="true" indent="0" shrinkToFit="false"/>
      <protection locked="true" hidden="false"/>
    </xf>
    <xf numFmtId="164" fontId="9" fillId="7" borderId="0"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7" fontId="8" fillId="6" borderId="1" xfId="0" applyFont="true" applyBorder="true" applyAlignment="true" applyProtection="false">
      <alignment horizontal="right" vertical="top" textRotation="0" wrapText="false" indent="0" shrinkToFit="false"/>
      <protection locked="true" hidden="false"/>
    </xf>
    <xf numFmtId="167" fontId="8" fillId="4" borderId="1" xfId="0" applyFont="true" applyBorder="true" applyAlignment="true" applyProtection="false">
      <alignment horizontal="right" vertical="top" textRotation="0" wrapText="fals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6" fontId="5" fillId="8" borderId="1" xfId="0" applyFont="true" applyBorder="true" applyAlignment="true" applyProtection="false">
      <alignment horizontal="right" vertical="top"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6" fontId="7" fillId="2" borderId="1" xfId="0" applyFont="true" applyBorder="true" applyAlignment="true" applyProtection="false">
      <alignment horizontal="right" vertical="top" textRotation="0" wrapText="false" indent="0" shrinkToFit="false"/>
      <protection locked="true" hidden="false"/>
    </xf>
    <xf numFmtId="168" fontId="8" fillId="6" borderId="1" xfId="0" applyFont="true" applyBorder="true" applyAlignment="true" applyProtection="false">
      <alignment horizontal="right" vertical="top"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right" vertical="top" textRotation="0" wrapText="fals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7" fontId="8" fillId="6" borderId="0" xfId="0" applyFont="true" applyBorder="false" applyAlignment="true" applyProtection="false">
      <alignment horizontal="right" vertical="top" textRotation="0" wrapText="false" indent="0" shrinkToFit="false"/>
      <protection locked="true" hidden="false"/>
    </xf>
    <xf numFmtId="167" fontId="8" fillId="4" borderId="0" xfId="0" applyFont="true" applyBorder="false" applyAlignment="true" applyProtection="false">
      <alignment horizontal="right" vertical="top" textRotation="0" wrapText="false" indent="0" shrinkToFit="false"/>
      <protection locked="true" hidden="false"/>
    </xf>
    <xf numFmtId="164" fontId="5" fillId="8" borderId="0" xfId="0" applyFont="true" applyBorder="false" applyAlignment="true" applyProtection="false">
      <alignment horizontal="left" vertical="top" textRotation="0" wrapText="true" indent="0" shrinkToFit="false"/>
      <protection locked="true" hidden="false"/>
    </xf>
    <xf numFmtId="166" fontId="5" fillId="8" borderId="0" xfId="0" applyFont="true" applyBorder="false" applyAlignment="true" applyProtection="false">
      <alignment horizontal="right" vertical="top" textRotation="0" wrapText="false" indent="0" shrinkToFit="false"/>
      <protection locked="true" hidden="false"/>
    </xf>
    <xf numFmtId="167" fontId="5" fillId="8" borderId="0" xfId="0" applyFont="true" applyBorder="false" applyAlignment="true" applyProtection="false">
      <alignment horizontal="right" vertical="top" textRotation="0" wrapText="false" indent="0" shrinkToFit="false"/>
      <protection locked="true" hidden="false"/>
    </xf>
    <xf numFmtId="167" fontId="5" fillId="8" borderId="1" xfId="0" applyFont="true" applyBorder="true" applyAlignment="true" applyProtection="false">
      <alignment horizontal="right" vertical="top" textRotation="0" wrapText="false" indent="0" shrinkToFit="false"/>
      <protection locked="true" hidden="false"/>
    </xf>
    <xf numFmtId="167" fontId="7" fillId="2" borderId="1" xfId="0" applyFont="true" applyBorder="true" applyAlignment="true" applyProtection="false">
      <alignment horizontal="right" vertical="top" textRotation="0" wrapText="false" indent="0" shrinkToFit="false"/>
      <protection locked="true" hidden="false"/>
    </xf>
    <xf numFmtId="167" fontId="6" fillId="6" borderId="1" xfId="0" applyFont="true" applyBorder="true" applyAlignment="true" applyProtection="false">
      <alignment horizontal="left" vertical="top" textRotation="0" wrapText="true" indent="0" shrinkToFit="false"/>
      <protection locked="true" hidden="false"/>
    </xf>
    <xf numFmtId="167" fontId="6" fillId="4"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7" fontId="6" fillId="8"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5" fontId="10" fillId="11" borderId="1" xfId="0" applyFont="true" applyBorder="true" applyAlignment="true" applyProtection="false">
      <alignment horizontal="left" vertical="center" textRotation="0" wrapText="true" indent="0" shrinkToFit="false"/>
      <protection locked="true" hidden="false"/>
    </xf>
    <xf numFmtId="169" fontId="10" fillId="11" borderId="1" xfId="0" applyFont="true" applyBorder="true" applyAlignment="true" applyProtection="false">
      <alignment horizontal="left" vertical="center" textRotation="0" wrapText="true" indent="0" shrinkToFit="false"/>
      <protection locked="true" hidden="false"/>
    </xf>
    <xf numFmtId="165" fontId="11" fillId="11" borderId="1" xfId="0" applyFont="true" applyBorder="true" applyAlignment="true" applyProtection="false">
      <alignment horizontal="left" vertical="center" textRotation="0" wrapText="true" indent="0" shrinkToFit="false"/>
      <protection locked="true" hidden="false"/>
    </xf>
    <xf numFmtId="164" fontId="12" fillId="11"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center" vertical="top" textRotation="0" wrapText="true" indent="0" shrinkToFit="false"/>
      <protection locked="true" hidden="false"/>
    </xf>
    <xf numFmtId="169" fontId="9" fillId="6" borderId="1" xfId="0" applyFont="true" applyBorder="true" applyAlignment="true" applyProtection="false">
      <alignment horizontal="left" vertical="top" textRotation="0" wrapText="true" indent="0" shrinkToFit="false"/>
      <protection locked="true" hidden="false"/>
    </xf>
    <xf numFmtId="169" fontId="9"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5" fontId="10" fillId="4" borderId="1" xfId="0" applyFont="true" applyBorder="true" applyAlignment="true" applyProtection="false">
      <alignment horizontal="left" vertical="center" textRotation="0" wrapText="true" indent="0" shrinkToFit="false"/>
      <protection locked="true" hidden="false"/>
    </xf>
    <xf numFmtId="169" fontId="10" fillId="4" borderId="1" xfId="0" applyFont="true" applyBorder="true" applyAlignment="true" applyProtection="false">
      <alignment horizontal="left" vertical="center" textRotation="0" wrapText="true" indent="0" shrinkToFit="false"/>
      <protection locked="true" hidden="false"/>
    </xf>
    <xf numFmtId="165" fontId="7" fillId="2" borderId="1" xfId="0" applyFont="true" applyBorder="true" applyAlignment="true" applyProtection="false">
      <alignment horizontal="center" vertical="top" textRotation="0" wrapText="true" indent="0" shrinkToFit="false"/>
      <protection locked="true" hidden="false"/>
    </xf>
    <xf numFmtId="169" fontId="7" fillId="2" borderId="1" xfId="0" applyFont="true" applyBorder="true" applyAlignment="true" applyProtection="false">
      <alignment horizontal="center" vertical="top" textRotation="0" wrapText="true" indent="0" shrinkToFit="false"/>
      <protection locked="true" hidden="false"/>
    </xf>
    <xf numFmtId="170" fontId="8" fillId="6" borderId="0" xfId="0" applyFont="true" applyBorder="false" applyAlignment="true" applyProtection="false">
      <alignment horizontal="right" vertical="top" textRotation="0" wrapText="false" indent="0" shrinkToFit="false"/>
      <protection locked="true" hidden="false"/>
    </xf>
    <xf numFmtId="165" fontId="8" fillId="8" borderId="0" xfId="0" applyFont="true" applyBorder="false" applyAlignment="true" applyProtection="false">
      <alignment horizontal="right" vertical="top" textRotation="0" wrapText="false" indent="0" shrinkToFit="false"/>
      <protection locked="true" hidden="false"/>
    </xf>
    <xf numFmtId="166" fontId="8" fillId="8" borderId="0" xfId="0" applyFont="true" applyBorder="false" applyAlignment="true" applyProtection="false">
      <alignment horizontal="right" vertical="top" textRotation="0" wrapText="false" indent="0" shrinkToFit="false"/>
      <protection locked="true" hidden="false"/>
    </xf>
    <xf numFmtId="170" fontId="8" fillId="8" borderId="0" xfId="0" applyFont="true" applyBorder="false" applyAlignment="true" applyProtection="false">
      <alignment horizontal="right" vertical="top" textRotation="0" wrapText="false" indent="0" shrinkToFit="false"/>
      <protection locked="true" hidden="false"/>
    </xf>
    <xf numFmtId="170" fontId="8" fillId="4"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CE6F1"/>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F5F5F5"/>
      <rgbColor rgb="FFE2EFDA"/>
      <rgbColor rgb="FFF9F9F9"/>
      <rgbColor rgb="FFE8E8E8"/>
      <rgbColor rgb="FFFF99CC"/>
      <rgbColor rgb="FFCC99FF"/>
      <rgbColor rgb="FFFCE4D6"/>
      <rgbColor rgb="FF2E75B6"/>
      <rgbColor rgb="FF33CCCC"/>
      <rgbColor rgb="FF99CC00"/>
      <rgbColor rgb="FFFFCC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6"/>
  </cols>
  <sheetData>
    <row r="1" customFormat="false" ht="27.75" hidden="false" customHeight="true" outlineLevel="0" collapsed="false">
      <c r="A1" s="2" t="s">
        <v>0</v>
      </c>
      <c r="B1" s="2"/>
      <c r="C1" s="2"/>
      <c r="D1" s="2"/>
      <c r="E1" s="2"/>
      <c r="F1" s="2"/>
    </row>
    <row r="3" customFormat="false" ht="34.5" hidden="false" customHeight="true" outlineLevel="0" collapsed="false">
      <c r="A3" s="3" t="s">
        <v>1</v>
      </c>
      <c r="B3" s="4" t="s">
        <v>2</v>
      </c>
      <c r="C3" s="4"/>
      <c r="D3" s="4"/>
      <c r="E3" s="4"/>
      <c r="F3" s="4"/>
    </row>
    <row r="4" customFormat="false" ht="34.5" hidden="false" customHeight="true" outlineLevel="0" collapsed="false">
      <c r="A4" s="3" t="s">
        <v>3</v>
      </c>
      <c r="B4" s="4" t="s">
        <v>4</v>
      </c>
      <c r="C4" s="4"/>
      <c r="D4" s="4"/>
      <c r="E4" s="4"/>
      <c r="F4" s="4"/>
    </row>
    <row r="5" customFormat="false" ht="57" hidden="false" customHeight="true" outlineLevel="0" collapsed="false">
      <c r="A5" s="3" t="s">
        <v>5</v>
      </c>
      <c r="B5" s="4" t="s">
        <v>6</v>
      </c>
      <c r="C5" s="4"/>
      <c r="D5" s="4"/>
      <c r="E5" s="4"/>
      <c r="F5" s="4"/>
    </row>
    <row r="6" customFormat="false" ht="23.25" hidden="false" customHeight="true" outlineLevel="0" collapsed="false">
      <c r="A6" s="3" t="s">
        <v>7</v>
      </c>
      <c r="B6" s="4" t="s">
        <v>8</v>
      </c>
      <c r="C6" s="4"/>
      <c r="D6" s="4"/>
      <c r="E6" s="4"/>
      <c r="F6" s="4"/>
    </row>
    <row r="7" customFormat="false" ht="124.5" hidden="false" customHeight="true" outlineLevel="0" collapsed="false">
      <c r="A7" s="3" t="s">
        <v>9</v>
      </c>
      <c r="B7" s="4" t="s">
        <v>10</v>
      </c>
      <c r="C7" s="4"/>
      <c r="D7" s="4"/>
      <c r="E7" s="4"/>
      <c r="F7" s="4"/>
    </row>
    <row r="8" customFormat="false" ht="34.5" hidden="false" customHeight="true" outlineLevel="0" collapsed="false">
      <c r="A8" s="3" t="s">
        <v>11</v>
      </c>
      <c r="B8" s="4" t="s">
        <v>12</v>
      </c>
      <c r="C8" s="4"/>
      <c r="D8" s="4"/>
      <c r="E8" s="4"/>
      <c r="F8" s="4"/>
    </row>
    <row r="9" customFormat="false" ht="135.75" hidden="false" customHeight="true" outlineLevel="0" collapsed="false">
      <c r="A9" s="5" t="s">
        <v>13</v>
      </c>
      <c r="B9" s="6" t="s">
        <v>14</v>
      </c>
      <c r="C9" s="6"/>
      <c r="D9" s="6"/>
      <c r="E9" s="6"/>
      <c r="F9" s="6"/>
    </row>
    <row r="10" customFormat="false" ht="124.5" hidden="false" customHeight="true" outlineLevel="0" collapsed="false">
      <c r="A10" s="5" t="s">
        <v>15</v>
      </c>
      <c r="B10" s="6" t="s">
        <v>16</v>
      </c>
      <c r="C10" s="6"/>
      <c r="D10" s="6"/>
      <c r="E10" s="6"/>
      <c r="F10" s="6"/>
    </row>
    <row r="11" customFormat="false" ht="102" hidden="false" customHeight="true" outlineLevel="0" collapsed="false">
      <c r="A11" s="5" t="s">
        <v>17</v>
      </c>
      <c r="B11" s="6" t="s">
        <v>18</v>
      </c>
      <c r="C11" s="6"/>
      <c r="D11" s="6"/>
      <c r="E11" s="6"/>
      <c r="F11" s="6"/>
    </row>
    <row r="12" customFormat="false" ht="168.75" hidden="false" customHeight="true" outlineLevel="0" collapsed="false">
      <c r="A12" s="5" t="s">
        <v>19</v>
      </c>
      <c r="B12" s="6" t="s">
        <v>20</v>
      </c>
      <c r="C12" s="6"/>
      <c r="D12" s="6"/>
      <c r="E12" s="6"/>
      <c r="F12" s="6"/>
    </row>
  </sheetData>
  <mergeCells count="11">
    <mergeCell ref="A1:F1"/>
    <mergeCell ref="B3:F3"/>
    <mergeCell ref="B4:F4"/>
    <mergeCell ref="B5:F5"/>
    <mergeCell ref="B6:F6"/>
    <mergeCell ref="B7:F7"/>
    <mergeCell ref="B8:F8"/>
    <mergeCell ref="B9:F9"/>
    <mergeCell ref="B10:F10"/>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8"/>
    <col collapsed="false" customWidth="true" hidden="false" outlineLevel="0" max="3" min="3" style="1" width="14"/>
    <col collapsed="false" customWidth="true" hidden="false" outlineLevel="0" max="4" min="4" style="1" width="10"/>
    <col collapsed="false" customWidth="true" hidden="false" outlineLevel="0" max="5" min="5" style="1" width="14"/>
    <col collapsed="false" customWidth="true" hidden="false" outlineLevel="0" max="6" min="6" style="1" width="40"/>
    <col collapsed="false" customWidth="true" hidden="false" outlineLevel="0" max="7" min="7" style="1" width="14"/>
    <col collapsed="false" customWidth="true" hidden="false" outlineLevel="0" max="8" min="8" style="1" width="50"/>
  </cols>
  <sheetData>
    <row r="1" customFormat="false" ht="25.5" hidden="false" customHeight="true" outlineLevel="0" collapsed="false">
      <c r="A1" s="2" t="s">
        <v>21</v>
      </c>
      <c r="B1" s="2"/>
      <c r="C1" s="2"/>
      <c r="D1" s="2"/>
      <c r="E1" s="2"/>
      <c r="F1" s="2"/>
      <c r="G1" s="2"/>
      <c r="H1" s="2"/>
    </row>
    <row r="2" customFormat="false" ht="36" hidden="false" customHeight="true" outlineLevel="0" collapsed="false">
      <c r="A2" s="7" t="s">
        <v>22</v>
      </c>
      <c r="B2" s="7" t="s">
        <v>23</v>
      </c>
      <c r="C2" s="7" t="s">
        <v>24</v>
      </c>
      <c r="D2" s="7" t="s">
        <v>25</v>
      </c>
      <c r="E2" s="7" t="s">
        <v>26</v>
      </c>
      <c r="F2" s="7" t="s">
        <v>27</v>
      </c>
      <c r="G2" s="7" t="s">
        <v>28</v>
      </c>
      <c r="H2" s="7" t="s">
        <v>29</v>
      </c>
    </row>
    <row r="3" customFormat="false" ht="18" hidden="false" customHeight="true" outlineLevel="0" collapsed="false">
      <c r="A3" s="8" t="s">
        <v>30</v>
      </c>
      <c r="B3" s="8"/>
      <c r="C3" s="8"/>
      <c r="D3" s="8"/>
      <c r="E3" s="8"/>
      <c r="F3" s="8"/>
      <c r="G3" s="8"/>
      <c r="H3" s="8"/>
    </row>
    <row r="4" customFormat="false" ht="42.75" hidden="false" customHeight="true" outlineLevel="0" collapsed="false">
      <c r="A4" s="9" t="s">
        <v>31</v>
      </c>
      <c r="B4" s="10" t="s">
        <v>32</v>
      </c>
      <c r="C4" s="11" t="n">
        <v>3648206</v>
      </c>
      <c r="D4" s="12" t="s">
        <v>33</v>
      </c>
      <c r="E4" s="13" t="n">
        <f aca="false">'Human Biomass'!F20*1000/C4</f>
        <v>69.7814695771017</v>
      </c>
      <c r="F4" s="14" t="s">
        <v>34</v>
      </c>
      <c r="G4" s="13" t="n">
        <f aca="false">'Human Biomass'!F20</f>
        <v>254577.176</v>
      </c>
      <c r="H4" s="14" t="s">
        <v>35</v>
      </c>
    </row>
    <row r="5" customFormat="false" ht="18" hidden="false" customHeight="true" outlineLevel="0" collapsed="false">
      <c r="A5" s="8" t="s">
        <v>36</v>
      </c>
      <c r="B5" s="8"/>
      <c r="C5" s="8"/>
      <c r="D5" s="8"/>
      <c r="E5" s="8"/>
      <c r="F5" s="8"/>
      <c r="G5" s="8"/>
      <c r="H5" s="8"/>
    </row>
    <row r="6" customFormat="false" ht="42.75" hidden="false" customHeight="true" outlineLevel="0" collapsed="false">
      <c r="A6" s="9" t="s">
        <v>37</v>
      </c>
      <c r="B6" s="4" t="s">
        <v>38</v>
      </c>
      <c r="C6" s="15" t="n">
        <v>10920</v>
      </c>
      <c r="D6" s="16" t="s">
        <v>39</v>
      </c>
      <c r="E6" s="17" t="n">
        <v>200</v>
      </c>
      <c r="F6" s="18" t="s">
        <v>40</v>
      </c>
      <c r="G6" s="17" t="n">
        <f aca="false">C6*E6/1000</f>
        <v>2184</v>
      </c>
      <c r="H6" s="18" t="s">
        <v>41</v>
      </c>
    </row>
    <row r="7" customFormat="false" ht="21.75" hidden="false" customHeight="true" outlineLevel="0" collapsed="false">
      <c r="A7" s="9" t="s">
        <v>37</v>
      </c>
      <c r="B7" s="10" t="s">
        <v>42</v>
      </c>
      <c r="C7" s="11" t="n">
        <v>77637</v>
      </c>
      <c r="D7" s="12" t="s">
        <v>39</v>
      </c>
      <c r="E7" s="13" t="n">
        <v>200</v>
      </c>
      <c r="F7" s="14" t="s">
        <v>40</v>
      </c>
      <c r="G7" s="13" t="n">
        <f aca="false">C7*E7/1000</f>
        <v>15527.4</v>
      </c>
      <c r="H7" s="14" t="s">
        <v>43</v>
      </c>
    </row>
    <row r="8" customFormat="false" ht="21.75" hidden="false" customHeight="true" outlineLevel="0" collapsed="false">
      <c r="A8" s="9" t="s">
        <v>37</v>
      </c>
      <c r="B8" s="4" t="s">
        <v>44</v>
      </c>
      <c r="C8" s="15" t="n">
        <v>159263</v>
      </c>
      <c r="D8" s="16" t="s">
        <v>39</v>
      </c>
      <c r="E8" s="17" t="n">
        <v>200</v>
      </c>
      <c r="F8" s="18" t="s">
        <v>40</v>
      </c>
      <c r="G8" s="17" t="n">
        <f aca="false">C8*E8/1000</f>
        <v>31852.6</v>
      </c>
      <c r="H8" s="18" t="s">
        <v>45</v>
      </c>
    </row>
    <row r="9" customFormat="false" ht="21.75" hidden="false" customHeight="true" outlineLevel="0" collapsed="false">
      <c r="A9" s="19" t="s">
        <v>37</v>
      </c>
      <c r="B9" s="20" t="s">
        <v>46</v>
      </c>
      <c r="C9" s="21" t="n">
        <v>42151</v>
      </c>
      <c r="D9" s="22" t="s">
        <v>39</v>
      </c>
      <c r="E9" s="23" t="n">
        <v>455</v>
      </c>
      <c r="F9" s="24" t="s">
        <v>47</v>
      </c>
      <c r="G9" s="23" t="n">
        <f aca="false">C9*E9/1000</f>
        <v>19178.705</v>
      </c>
      <c r="H9" s="24" t="s">
        <v>48</v>
      </c>
    </row>
    <row r="10" customFormat="false" ht="21.75" hidden="false" customHeight="true" outlineLevel="0" collapsed="false">
      <c r="A10" s="19" t="s">
        <v>37</v>
      </c>
      <c r="B10" s="25" t="s">
        <v>49</v>
      </c>
      <c r="C10" s="26" t="n">
        <v>7696</v>
      </c>
      <c r="D10" s="27" t="s">
        <v>39</v>
      </c>
      <c r="E10" s="28" t="n">
        <v>455</v>
      </c>
      <c r="F10" s="29" t="s">
        <v>47</v>
      </c>
      <c r="G10" s="28" t="n">
        <f aca="false">C10*E10/1000</f>
        <v>3501.68</v>
      </c>
      <c r="H10" s="29" t="s">
        <v>50</v>
      </c>
    </row>
    <row r="11" customFormat="false" ht="21.75" hidden="false" customHeight="true" outlineLevel="0" collapsed="false">
      <c r="A11" s="19" t="s">
        <v>37</v>
      </c>
      <c r="B11" s="20" t="s">
        <v>51</v>
      </c>
      <c r="C11" s="21" t="n">
        <v>150978</v>
      </c>
      <c r="D11" s="22" t="s">
        <v>39</v>
      </c>
      <c r="E11" s="23" t="n">
        <v>455</v>
      </c>
      <c r="F11" s="24" t="s">
        <v>47</v>
      </c>
      <c r="G11" s="23" t="n">
        <f aca="false">C11*E11/1000</f>
        <v>68694.99</v>
      </c>
      <c r="H11" s="24" t="s">
        <v>52</v>
      </c>
    </row>
    <row r="12" customFormat="false" ht="32.25" hidden="false" customHeight="true" outlineLevel="0" collapsed="false">
      <c r="A12" s="19" t="s">
        <v>37</v>
      </c>
      <c r="B12" s="25" t="s">
        <v>53</v>
      </c>
      <c r="C12" s="26" t="n">
        <v>14947</v>
      </c>
      <c r="D12" s="27" t="s">
        <v>39</v>
      </c>
      <c r="E12" s="28" t="n">
        <v>875</v>
      </c>
      <c r="F12" s="29" t="s">
        <v>54</v>
      </c>
      <c r="G12" s="28" t="n">
        <f aca="false">C12*E12/1000</f>
        <v>13078.625</v>
      </c>
      <c r="H12" s="29" t="s">
        <v>55</v>
      </c>
    </row>
    <row r="13" customFormat="false" ht="21.75" hidden="false" customHeight="true" outlineLevel="0" collapsed="false">
      <c r="A13" s="19" t="s">
        <v>37</v>
      </c>
      <c r="B13" s="20" t="s">
        <v>56</v>
      </c>
      <c r="C13" s="21" t="n">
        <v>7002</v>
      </c>
      <c r="D13" s="22" t="s">
        <v>39</v>
      </c>
      <c r="E13" s="23" t="n">
        <v>650</v>
      </c>
      <c r="F13" s="24" t="s">
        <v>57</v>
      </c>
      <c r="G13" s="23" t="n">
        <f aca="false">C13*E13/1000</f>
        <v>4551.3</v>
      </c>
      <c r="H13" s="24" t="s">
        <v>58</v>
      </c>
    </row>
    <row r="14" customFormat="false" ht="21.75" hidden="false" customHeight="true" outlineLevel="0" collapsed="false">
      <c r="A14" s="19" t="s">
        <v>37</v>
      </c>
      <c r="B14" s="25" t="s">
        <v>59</v>
      </c>
      <c r="C14" s="26" t="n">
        <v>110248</v>
      </c>
      <c r="D14" s="27" t="s">
        <v>39</v>
      </c>
      <c r="E14" s="28" t="n">
        <v>650</v>
      </c>
      <c r="F14" s="29" t="s">
        <v>57</v>
      </c>
      <c r="G14" s="28" t="n">
        <f aca="false">C14*E14/1000</f>
        <v>71661.2</v>
      </c>
      <c r="H14" s="29" t="s">
        <v>60</v>
      </c>
    </row>
    <row r="15" customFormat="false" ht="21.75" hidden="false" customHeight="true" outlineLevel="0" collapsed="false">
      <c r="A15" s="19" t="s">
        <v>37</v>
      </c>
      <c r="B15" s="20" t="s">
        <v>61</v>
      </c>
      <c r="C15" s="21" t="n">
        <v>174427</v>
      </c>
      <c r="D15" s="22" t="s">
        <v>39</v>
      </c>
      <c r="E15" s="23" t="n">
        <v>600</v>
      </c>
      <c r="F15" s="24" t="s">
        <v>62</v>
      </c>
      <c r="G15" s="23" t="n">
        <f aca="false">C15*E15/1000</f>
        <v>104656.2</v>
      </c>
      <c r="H15" s="24" t="s">
        <v>63</v>
      </c>
    </row>
    <row r="16" customFormat="false" ht="21.75" hidden="false" customHeight="true" outlineLevel="0" collapsed="false">
      <c r="A16" s="19" t="s">
        <v>37</v>
      </c>
      <c r="B16" s="25" t="s">
        <v>64</v>
      </c>
      <c r="C16" s="26" t="n">
        <v>6584</v>
      </c>
      <c r="D16" s="27" t="s">
        <v>39</v>
      </c>
      <c r="E16" s="28" t="n">
        <v>600</v>
      </c>
      <c r="F16" s="29" t="s">
        <v>62</v>
      </c>
      <c r="G16" s="28" t="n">
        <f aca="false">C16*E16/1000</f>
        <v>3950.4</v>
      </c>
      <c r="H16" s="29" t="s">
        <v>65</v>
      </c>
    </row>
    <row r="17" customFormat="false" ht="42.75" hidden="false" customHeight="true" outlineLevel="0" collapsed="false">
      <c r="A17" s="19" t="s">
        <v>37</v>
      </c>
      <c r="B17" s="20" t="s">
        <v>66</v>
      </c>
      <c r="C17" s="21" t="n">
        <v>192473</v>
      </c>
      <c r="D17" s="22" t="s">
        <v>39</v>
      </c>
      <c r="E17" s="23" t="n">
        <v>600</v>
      </c>
      <c r="F17" s="24" t="s">
        <v>62</v>
      </c>
      <c r="G17" s="23" t="n">
        <f aca="false">C17*E17/1000</f>
        <v>115483.8</v>
      </c>
      <c r="H17" s="24" t="s">
        <v>67</v>
      </c>
    </row>
    <row r="18" customFormat="false" ht="21.75" hidden="false" customHeight="true" outlineLevel="0" collapsed="false">
      <c r="A18" s="19" t="s">
        <v>37</v>
      </c>
      <c r="B18" s="25" t="s">
        <v>68</v>
      </c>
      <c r="C18" s="26" t="n">
        <v>20705</v>
      </c>
      <c r="D18" s="27" t="s">
        <v>39</v>
      </c>
      <c r="E18" s="28" t="n">
        <v>600</v>
      </c>
      <c r="F18" s="29" t="s">
        <v>62</v>
      </c>
      <c r="G18" s="28" t="n">
        <f aca="false">C18*E18/1000</f>
        <v>12423</v>
      </c>
      <c r="H18" s="29" t="s">
        <v>69</v>
      </c>
    </row>
    <row r="19" customFormat="false" ht="21.75" hidden="false" customHeight="true" outlineLevel="0" collapsed="false">
      <c r="A19" s="9" t="s">
        <v>37</v>
      </c>
      <c r="B19" s="10" t="s">
        <v>70</v>
      </c>
      <c r="C19" s="11" t="n">
        <v>342382</v>
      </c>
      <c r="D19" s="12" t="s">
        <v>39</v>
      </c>
      <c r="E19" s="13" t="n">
        <v>82</v>
      </c>
      <c r="F19" s="14" t="s">
        <v>71</v>
      </c>
      <c r="G19" s="13" t="n">
        <f aca="false">C19*E19/1000</f>
        <v>28075.324</v>
      </c>
      <c r="H19" s="14" t="s">
        <v>72</v>
      </c>
    </row>
    <row r="20" customFormat="false" ht="21.75" hidden="false" customHeight="true" outlineLevel="0" collapsed="false">
      <c r="A20" s="9" t="s">
        <v>37</v>
      </c>
      <c r="B20" s="25" t="s">
        <v>73</v>
      </c>
      <c r="C20" s="26" t="n">
        <v>101000</v>
      </c>
      <c r="D20" s="27" t="s">
        <v>39</v>
      </c>
      <c r="E20" s="28" t="n">
        <v>500</v>
      </c>
      <c r="F20" s="29" t="s">
        <v>74</v>
      </c>
      <c r="G20" s="28" t="n">
        <f aca="false">C20*E20/1000</f>
        <v>50500</v>
      </c>
      <c r="H20" s="29" t="s">
        <v>75</v>
      </c>
    </row>
    <row r="21" customFormat="false" ht="21.75" hidden="false" customHeight="true" outlineLevel="0" collapsed="false">
      <c r="A21" s="9" t="s">
        <v>37</v>
      </c>
      <c r="B21" s="10" t="s">
        <v>76</v>
      </c>
      <c r="C21" s="11" t="n">
        <v>135000</v>
      </c>
      <c r="D21" s="12" t="s">
        <v>39</v>
      </c>
      <c r="E21" s="13" t="n">
        <v>58</v>
      </c>
      <c r="F21" s="14" t="s">
        <v>77</v>
      </c>
      <c r="G21" s="13" t="n">
        <f aca="false">C21*E21/1000</f>
        <v>7830</v>
      </c>
      <c r="H21" s="14" t="s">
        <v>78</v>
      </c>
    </row>
    <row r="22" customFormat="false" ht="18" hidden="false" customHeight="true" outlineLevel="0" collapsed="false">
      <c r="A22" s="30" t="s">
        <v>79</v>
      </c>
      <c r="B22" s="30"/>
      <c r="C22" s="30"/>
      <c r="D22" s="30"/>
      <c r="E22" s="30"/>
      <c r="F22" s="30"/>
      <c r="G22" s="30"/>
      <c r="H22" s="30"/>
    </row>
    <row r="23" customFormat="false" ht="53.25" hidden="false" customHeight="true" outlineLevel="0" collapsed="false">
      <c r="A23" s="9" t="s">
        <v>80</v>
      </c>
      <c r="B23" s="4" t="s">
        <v>81</v>
      </c>
      <c r="C23" s="15" t="n">
        <v>8000</v>
      </c>
      <c r="D23" s="16" t="s">
        <v>33</v>
      </c>
      <c r="E23" s="17" t="n">
        <v>100</v>
      </c>
      <c r="F23" s="18" t="s">
        <v>82</v>
      </c>
      <c r="G23" s="17" t="n">
        <f aca="false">C23*E23/1000</f>
        <v>800</v>
      </c>
      <c r="H23" s="18" t="s">
        <v>83</v>
      </c>
    </row>
    <row r="24" customFormat="false" ht="53.25" hidden="false" customHeight="true" outlineLevel="0" collapsed="false">
      <c r="A24" s="9" t="s">
        <v>80</v>
      </c>
      <c r="B24" s="10" t="s">
        <v>84</v>
      </c>
      <c r="C24" s="11" t="n">
        <v>25000</v>
      </c>
      <c r="D24" s="12" t="s">
        <v>33</v>
      </c>
      <c r="E24" s="13" t="n">
        <v>22</v>
      </c>
      <c r="F24" s="14" t="s">
        <v>85</v>
      </c>
      <c r="G24" s="13" t="n">
        <f aca="false">C24*E24/1000</f>
        <v>550</v>
      </c>
      <c r="H24" s="14" t="s">
        <v>86</v>
      </c>
    </row>
    <row r="25" customFormat="false" ht="42.75" hidden="false" customHeight="true" outlineLevel="0" collapsed="false">
      <c r="A25" s="9" t="s">
        <v>80</v>
      </c>
      <c r="B25" s="4" t="s">
        <v>87</v>
      </c>
      <c r="C25" s="15" t="n">
        <v>17994</v>
      </c>
      <c r="D25" s="16" t="s">
        <v>33</v>
      </c>
      <c r="E25" s="17" t="n">
        <v>62</v>
      </c>
      <c r="F25" s="18" t="s">
        <v>88</v>
      </c>
      <c r="G25" s="17" t="n">
        <f aca="false">C25*E25/1000</f>
        <v>1115.628</v>
      </c>
      <c r="H25" s="18" t="s">
        <v>89</v>
      </c>
    </row>
    <row r="26" customFormat="false" ht="42.75" hidden="false" customHeight="true" outlineLevel="0" collapsed="false">
      <c r="A26" s="19" t="s">
        <v>80</v>
      </c>
      <c r="B26" s="20" t="s">
        <v>90</v>
      </c>
      <c r="C26" s="21" t="n">
        <v>5000</v>
      </c>
      <c r="D26" s="22" t="s">
        <v>33</v>
      </c>
      <c r="E26" s="23" t="n">
        <v>11</v>
      </c>
      <c r="F26" s="24" t="s">
        <v>91</v>
      </c>
      <c r="G26" s="23" t="n">
        <f aca="false">C26*E26/1000</f>
        <v>55</v>
      </c>
      <c r="H26" s="24" t="s">
        <v>92</v>
      </c>
    </row>
    <row r="27" customFormat="false" ht="42.75" hidden="false" customHeight="true" outlineLevel="0" collapsed="false">
      <c r="A27" s="19" t="s">
        <v>80</v>
      </c>
      <c r="B27" s="25" t="s">
        <v>93</v>
      </c>
      <c r="C27" s="26" t="n">
        <v>3000</v>
      </c>
      <c r="D27" s="27" t="s">
        <v>33</v>
      </c>
      <c r="E27" s="28" t="n">
        <v>4.5</v>
      </c>
      <c r="F27" s="29" t="s">
        <v>94</v>
      </c>
      <c r="G27" s="28" t="n">
        <f aca="false">C27*E27/1000</f>
        <v>13.5</v>
      </c>
      <c r="H27" s="29" t="s">
        <v>95</v>
      </c>
    </row>
    <row r="28" customFormat="false" ht="42.75" hidden="false" customHeight="true" outlineLevel="0" collapsed="false">
      <c r="A28" s="19" t="s">
        <v>80</v>
      </c>
      <c r="B28" s="20" t="s">
        <v>96</v>
      </c>
      <c r="C28" s="21" t="n">
        <v>3300</v>
      </c>
      <c r="D28" s="22" t="s">
        <v>33</v>
      </c>
      <c r="E28" s="23" t="n">
        <v>1.5</v>
      </c>
      <c r="F28" s="24" t="s">
        <v>97</v>
      </c>
      <c r="G28" s="23" t="n">
        <f aca="false">C28*E28/1000</f>
        <v>4.95</v>
      </c>
      <c r="H28" s="24" t="s">
        <v>98</v>
      </c>
    </row>
    <row r="29" customFormat="false" ht="42.75" hidden="false" customHeight="true" outlineLevel="0" collapsed="false">
      <c r="A29" s="19" t="s">
        <v>80</v>
      </c>
      <c r="B29" s="25" t="s">
        <v>99</v>
      </c>
      <c r="C29" s="26" t="n">
        <v>25</v>
      </c>
      <c r="D29" s="27" t="s">
        <v>33</v>
      </c>
      <c r="E29" s="28" t="n">
        <v>38</v>
      </c>
      <c r="F29" s="29" t="s">
        <v>100</v>
      </c>
      <c r="G29" s="28" t="n">
        <f aca="false">C29*E29/1000</f>
        <v>0.95</v>
      </c>
      <c r="H29" s="29" t="s">
        <v>101</v>
      </c>
    </row>
    <row r="30" customFormat="false" ht="42.75" hidden="false" customHeight="true" outlineLevel="0" collapsed="false">
      <c r="A30" s="19" t="s">
        <v>80</v>
      </c>
      <c r="B30" s="20" t="s">
        <v>102</v>
      </c>
      <c r="C30" s="21" t="n">
        <v>25</v>
      </c>
      <c r="D30" s="22" t="s">
        <v>33</v>
      </c>
      <c r="E30" s="23" t="n">
        <v>8</v>
      </c>
      <c r="F30" s="24" t="s">
        <v>103</v>
      </c>
      <c r="G30" s="23" t="n">
        <f aca="false">C30*E30/1000</f>
        <v>0.2</v>
      </c>
      <c r="H30" s="24" t="s">
        <v>104</v>
      </c>
    </row>
  </sheetData>
  <mergeCells count="3">
    <mergeCell ref="A1:H1"/>
    <mergeCell ref="A3:H3"/>
    <mergeCell ref="A5:H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40"/>
    <col collapsed="false" customWidth="true" hidden="false" outlineLevel="0" max="4" min="4" style="1" width="14"/>
    <col collapsed="false" customWidth="true" hidden="false" outlineLevel="0" max="5" min="5" style="1" width="40"/>
    <col collapsed="false" customWidth="true" hidden="false" outlineLevel="0" max="6" min="6" style="1" width="14"/>
    <col collapsed="false" customWidth="true" hidden="false" outlineLevel="0" max="7" min="7" style="1" width="16"/>
    <col collapsed="false" customWidth="true" hidden="false" outlineLevel="0" max="8" min="8" style="1" width="40"/>
  </cols>
  <sheetData>
    <row r="1" customFormat="false" ht="25.5" hidden="false" customHeight="true" outlineLevel="0" collapsed="false">
      <c r="A1" s="2" t="s">
        <v>105</v>
      </c>
      <c r="B1" s="2"/>
      <c r="C1" s="2"/>
      <c r="D1" s="2"/>
      <c r="E1" s="2"/>
      <c r="F1" s="2"/>
      <c r="G1" s="2"/>
      <c r="H1" s="2"/>
      <c r="I1" s="2"/>
    </row>
    <row r="2" customFormat="false" ht="51.75" hidden="false" customHeight="true" outlineLevel="0" collapsed="false">
      <c r="A2" s="31" t="s">
        <v>106</v>
      </c>
      <c r="B2" s="31"/>
      <c r="C2" s="31"/>
      <c r="D2" s="31"/>
      <c r="E2" s="31"/>
      <c r="F2" s="31"/>
      <c r="G2" s="31"/>
      <c r="H2" s="31"/>
      <c r="I2" s="31"/>
    </row>
    <row r="3" customFormat="false" ht="6" hidden="false" customHeight="true" outlineLevel="0" collapsed="false"/>
    <row r="4" customFormat="false" ht="36" hidden="false" customHeight="true" outlineLevel="0" collapsed="false">
      <c r="A4" s="7" t="s">
        <v>107</v>
      </c>
      <c r="B4" s="7" t="s">
        <v>108</v>
      </c>
      <c r="C4" s="7" t="s">
        <v>109</v>
      </c>
      <c r="D4" s="7" t="s">
        <v>110</v>
      </c>
      <c r="E4" s="7" t="s">
        <v>111</v>
      </c>
      <c r="F4" s="7" t="s">
        <v>28</v>
      </c>
      <c r="G4" s="7" t="s">
        <v>112</v>
      </c>
      <c r="H4" s="7" t="s">
        <v>113</v>
      </c>
    </row>
    <row r="5" customFormat="false" ht="18" hidden="false" customHeight="true" outlineLevel="0" collapsed="false">
      <c r="A5" s="32" t="s">
        <v>114</v>
      </c>
      <c r="B5" s="11" t="n">
        <v>186576</v>
      </c>
      <c r="C5" s="14" t="s">
        <v>115</v>
      </c>
      <c r="D5" s="13" t="n">
        <v>14.5</v>
      </c>
      <c r="E5" s="14" t="s">
        <v>116</v>
      </c>
      <c r="F5" s="13" t="n">
        <f aca="false">B5*D5/1000</f>
        <v>2705.352</v>
      </c>
      <c r="G5" s="33" t="n">
        <f aca="false">F5/$F$18*100</f>
        <v>1.48196345104007</v>
      </c>
      <c r="H5" s="14" t="s">
        <v>117</v>
      </c>
    </row>
    <row r="6" customFormat="false" ht="18" hidden="false" customHeight="true" outlineLevel="0" collapsed="false">
      <c r="A6" s="32" t="s">
        <v>118</v>
      </c>
      <c r="B6" s="15" t="n">
        <v>208824</v>
      </c>
      <c r="C6" s="18" t="s">
        <v>115</v>
      </c>
      <c r="D6" s="17" t="n">
        <v>27</v>
      </c>
      <c r="E6" s="18" t="s">
        <v>116</v>
      </c>
      <c r="F6" s="17" t="n">
        <f aca="false">B6*D6/1000</f>
        <v>5638.248</v>
      </c>
      <c r="G6" s="34" t="n">
        <f aca="false">F6/$F$18*100</f>
        <v>3.08857311872901</v>
      </c>
      <c r="H6" s="18" t="s">
        <v>119</v>
      </c>
    </row>
    <row r="7" customFormat="false" ht="18" hidden="false" customHeight="true" outlineLevel="0" collapsed="false">
      <c r="A7" s="32" t="s">
        <v>120</v>
      </c>
      <c r="B7" s="11" t="n">
        <v>221353</v>
      </c>
      <c r="C7" s="14" t="s">
        <v>115</v>
      </c>
      <c r="D7" s="13" t="n">
        <v>50</v>
      </c>
      <c r="E7" s="14" t="s">
        <v>116</v>
      </c>
      <c r="F7" s="13" t="n">
        <f aca="false">B7*D7/1000</f>
        <v>11067.65</v>
      </c>
      <c r="G7" s="33" t="n">
        <f aca="false">F7/$F$18*100</f>
        <v>6.06274258909881</v>
      </c>
      <c r="H7" s="14" t="s">
        <v>121</v>
      </c>
    </row>
    <row r="8" customFormat="false" ht="18" hidden="false" customHeight="true" outlineLevel="0" collapsed="false">
      <c r="A8" s="32" t="s">
        <v>122</v>
      </c>
      <c r="B8" s="15" t="n">
        <v>217518</v>
      </c>
      <c r="C8" s="18" t="s">
        <v>115</v>
      </c>
      <c r="D8" s="17" t="n">
        <v>70.5</v>
      </c>
      <c r="E8" s="18" t="s">
        <v>116</v>
      </c>
      <c r="F8" s="17" t="n">
        <f aca="false">B8*D8/1000</f>
        <v>15335.019</v>
      </c>
      <c r="G8" s="34" t="n">
        <f aca="false">F8/$F$18*100</f>
        <v>8.40036256982642</v>
      </c>
      <c r="H8" s="18" t="s">
        <v>123</v>
      </c>
    </row>
    <row r="9" customFormat="false" ht="18" hidden="false" customHeight="true" outlineLevel="0" collapsed="false">
      <c r="A9" s="32" t="s">
        <v>124</v>
      </c>
      <c r="B9" s="11" t="n">
        <v>221469</v>
      </c>
      <c r="C9" s="14" t="s">
        <v>115</v>
      </c>
      <c r="D9" s="13" t="n">
        <v>70.5</v>
      </c>
      <c r="E9" s="14" t="s">
        <v>116</v>
      </c>
      <c r="F9" s="13" t="n">
        <f aca="false">B9*D9/1000</f>
        <v>15613.5645</v>
      </c>
      <c r="G9" s="33" t="n">
        <f aca="false">F9/$F$18*100</f>
        <v>8.55294687325595</v>
      </c>
      <c r="H9" s="14" t="s">
        <v>125</v>
      </c>
    </row>
    <row r="10" customFormat="false" ht="18" hidden="false" customHeight="true" outlineLevel="0" collapsed="false">
      <c r="A10" s="32" t="s">
        <v>126</v>
      </c>
      <c r="B10" s="15" t="n">
        <v>457855</v>
      </c>
      <c r="C10" s="18" t="s">
        <v>115</v>
      </c>
      <c r="D10" s="17" t="n">
        <v>75.5</v>
      </c>
      <c r="E10" s="18" t="s">
        <v>116</v>
      </c>
      <c r="F10" s="17" t="n">
        <f aca="false">B10*D10/1000</f>
        <v>34568.0525</v>
      </c>
      <c r="G10" s="34" t="n">
        <f aca="false">F10/$F$18*100</f>
        <v>18.9360165991835</v>
      </c>
      <c r="H10" s="18" t="s">
        <v>127</v>
      </c>
    </row>
    <row r="11" customFormat="false" ht="18" hidden="false" customHeight="true" outlineLevel="0" collapsed="false">
      <c r="A11" s="32" t="s">
        <v>128</v>
      </c>
      <c r="B11" s="11" t="n">
        <v>459033</v>
      </c>
      <c r="C11" s="14" t="s">
        <v>115</v>
      </c>
      <c r="D11" s="13" t="n">
        <v>79</v>
      </c>
      <c r="E11" s="14" t="s">
        <v>116</v>
      </c>
      <c r="F11" s="13" t="n">
        <f aca="false">B11*D11/1000</f>
        <v>36263.607</v>
      </c>
      <c r="G11" s="33" t="n">
        <f aca="false">F11/$F$18*100</f>
        <v>19.8648235707889</v>
      </c>
      <c r="H11" s="14" t="s">
        <v>129</v>
      </c>
    </row>
    <row r="12" customFormat="false" ht="18" hidden="false" customHeight="true" outlineLevel="0" collapsed="false">
      <c r="A12" s="32" t="s">
        <v>130</v>
      </c>
      <c r="B12" s="15" t="n">
        <v>493510</v>
      </c>
      <c r="C12" s="18" t="s">
        <v>115</v>
      </c>
      <c r="D12" s="17" t="n">
        <v>82</v>
      </c>
      <c r="E12" s="18" t="s">
        <v>116</v>
      </c>
      <c r="F12" s="17" t="n">
        <f aca="false">B12*D12/1000</f>
        <v>40467.82</v>
      </c>
      <c r="G12" s="34" t="n">
        <f aca="false">F12/$F$18*100</f>
        <v>22.167847357116</v>
      </c>
      <c r="H12" s="18" t="s">
        <v>131</v>
      </c>
    </row>
    <row r="13" customFormat="false" ht="18" hidden="false" customHeight="true" outlineLevel="0" collapsed="false">
      <c r="A13" s="32" t="s">
        <v>132</v>
      </c>
      <c r="B13" s="11" t="n">
        <v>488531</v>
      </c>
      <c r="C13" s="14" t="s">
        <v>115</v>
      </c>
      <c r="D13" s="13" t="n">
        <v>82.5</v>
      </c>
      <c r="E13" s="14" t="s">
        <v>116</v>
      </c>
      <c r="F13" s="13" t="n">
        <f aca="false">B13*D13/1000</f>
        <v>40303.8075</v>
      </c>
      <c r="G13" s="33" t="n">
        <f aca="false">F13/$F$18*100</f>
        <v>22.0780030298293</v>
      </c>
      <c r="H13" s="14" t="s">
        <v>133</v>
      </c>
    </row>
    <row r="14" customFormat="false" ht="18" hidden="false" customHeight="true" outlineLevel="0" collapsed="false">
      <c r="A14" s="32" t="s">
        <v>134</v>
      </c>
      <c r="B14" s="15" t="n">
        <v>393721</v>
      </c>
      <c r="C14" s="18" t="s">
        <v>115</v>
      </c>
      <c r="D14" s="17" t="n">
        <v>79.5</v>
      </c>
      <c r="E14" s="18" t="s">
        <v>116</v>
      </c>
      <c r="F14" s="17" t="n">
        <f aca="false">B14*D14/1000</f>
        <v>31300.8195</v>
      </c>
      <c r="G14" s="34" t="n">
        <f aca="false">F14/$F$18*100</f>
        <v>17.1462606295234</v>
      </c>
      <c r="H14" s="18" t="s">
        <v>135</v>
      </c>
    </row>
    <row r="15" customFormat="false" ht="18" hidden="false" customHeight="true" outlineLevel="0" collapsed="false">
      <c r="A15" s="32" t="s">
        <v>136</v>
      </c>
      <c r="B15" s="11" t="n">
        <v>203384</v>
      </c>
      <c r="C15" s="14" t="s">
        <v>115</v>
      </c>
      <c r="D15" s="13" t="n">
        <v>73.5</v>
      </c>
      <c r="E15" s="14" t="s">
        <v>116</v>
      </c>
      <c r="F15" s="13" t="n">
        <f aca="false">B15*D15/1000</f>
        <v>14948.724</v>
      </c>
      <c r="G15" s="33" t="n">
        <f aca="false">F15/$F$18*100</f>
        <v>8.18875422040663</v>
      </c>
      <c r="H15" s="14" t="s">
        <v>137</v>
      </c>
    </row>
    <row r="16" customFormat="false" ht="18" hidden="false" customHeight="true" outlineLevel="0" collapsed="false">
      <c r="A16" s="32" t="s">
        <v>138</v>
      </c>
      <c r="B16" s="15" t="n">
        <v>96432</v>
      </c>
      <c r="C16" s="18" t="s">
        <v>115</v>
      </c>
      <c r="D16" s="17" t="n">
        <v>66</v>
      </c>
      <c r="E16" s="18" t="s">
        <v>116</v>
      </c>
      <c r="F16" s="17" t="n">
        <f aca="false">B16*D16/1000</f>
        <v>6364.512</v>
      </c>
      <c r="G16" s="34" t="n">
        <f aca="false">F16/$F$18*100</f>
        <v>3.48641292064986</v>
      </c>
      <c r="H16" s="18" t="s">
        <v>139</v>
      </c>
    </row>
    <row r="17" customFormat="false" ht="18" hidden="false" customHeight="true" outlineLevel="0" collapsed="false">
      <c r="A17" s="35" t="s">
        <v>140</v>
      </c>
      <c r="B17" s="35"/>
      <c r="C17" s="35"/>
      <c r="D17" s="35"/>
      <c r="E17" s="35"/>
      <c r="F17" s="36" t="n">
        <f aca="false">SUM(F5:F7)</f>
        <v>19411.25</v>
      </c>
      <c r="G17" s="35"/>
      <c r="H17" s="35"/>
    </row>
    <row r="18" customFormat="false" ht="18" hidden="false" customHeight="true" outlineLevel="0" collapsed="false">
      <c r="A18" s="35" t="s">
        <v>141</v>
      </c>
      <c r="B18" s="35"/>
      <c r="C18" s="35"/>
      <c r="D18" s="35"/>
      <c r="E18" s="35"/>
      <c r="F18" s="36" t="n">
        <f aca="false">SUM(F8:F13)</f>
        <v>182551.8705</v>
      </c>
      <c r="G18" s="35"/>
      <c r="H18" s="35"/>
    </row>
    <row r="19" customFormat="false" ht="18" hidden="false" customHeight="true" outlineLevel="0" collapsed="false">
      <c r="A19" s="35" t="s">
        <v>142</v>
      </c>
      <c r="B19" s="35"/>
      <c r="C19" s="35"/>
      <c r="D19" s="35"/>
      <c r="E19" s="35"/>
      <c r="F19" s="36" t="n">
        <f aca="false">SUM(F14:F16)</f>
        <v>52614.0555</v>
      </c>
      <c r="G19" s="35"/>
      <c r="H19" s="35"/>
    </row>
    <row r="20" customFormat="false" ht="21.75" hidden="false" customHeight="true" outlineLevel="0" collapsed="false">
      <c r="A20" s="37" t="s">
        <v>143</v>
      </c>
      <c r="B20" s="37"/>
      <c r="C20" s="37"/>
      <c r="D20" s="37"/>
      <c r="E20" s="37"/>
      <c r="F20" s="38" t="n">
        <f aca="false">F17+F18+F19</f>
        <v>254577.176</v>
      </c>
      <c r="G20" s="7" t="s">
        <v>144</v>
      </c>
      <c r="H20" s="37"/>
    </row>
    <row r="21" customFormat="false" ht="7.5" hidden="false" customHeight="true" outlineLevel="0" collapsed="false"/>
    <row r="22" customFormat="false" ht="18" hidden="false" customHeight="true" outlineLevel="0" collapsed="false">
      <c r="A22" s="8" t="s">
        <v>145</v>
      </c>
      <c r="B22" s="8"/>
      <c r="C22" s="8"/>
      <c r="D22" s="8"/>
      <c r="E22" s="8"/>
      <c r="F22" s="8"/>
      <c r="G22" s="8"/>
      <c r="H22" s="8"/>
    </row>
    <row r="23" customFormat="false" ht="18" hidden="false" customHeight="true" outlineLevel="0" collapsed="false">
      <c r="A23" s="7" t="s">
        <v>107</v>
      </c>
      <c r="B23" s="7" t="s">
        <v>146</v>
      </c>
      <c r="C23" s="7" t="s">
        <v>147</v>
      </c>
      <c r="D23" s="7" t="s">
        <v>148</v>
      </c>
      <c r="E23" s="7" t="s">
        <v>149</v>
      </c>
    </row>
    <row r="24" customFormat="false" ht="18" hidden="false" customHeight="true" outlineLevel="0" collapsed="false">
      <c r="A24" s="9" t="s">
        <v>150</v>
      </c>
      <c r="B24" s="11" t="n">
        <f aca="false">SUM(B5:B7)</f>
        <v>616753</v>
      </c>
      <c r="C24" s="11" t="n">
        <v>616753</v>
      </c>
      <c r="D24" s="11" t="n">
        <f aca="false">B24-C24</f>
        <v>0</v>
      </c>
      <c r="E24" s="39" t="n">
        <f aca="false">(B24-C24)/C24*100</f>
        <v>0</v>
      </c>
      <c r="F24" s="40"/>
      <c r="G24" s="40"/>
      <c r="H24" s="40"/>
    </row>
    <row r="25" customFormat="false" ht="18" hidden="false" customHeight="true" outlineLevel="0" collapsed="false">
      <c r="A25" s="9" t="s">
        <v>151</v>
      </c>
      <c r="B25" s="15" t="n">
        <f aca="false">SUM(B8:B13)</f>
        <v>2337916</v>
      </c>
      <c r="C25" s="15" t="n">
        <v>2337916</v>
      </c>
      <c r="D25" s="15" t="n">
        <f aca="false">B25-C25</f>
        <v>0</v>
      </c>
      <c r="E25" s="41" t="n">
        <f aca="false">(B25-C25)/C25*100</f>
        <v>0</v>
      </c>
      <c r="F25" s="40"/>
      <c r="G25" s="40"/>
      <c r="H25" s="40"/>
    </row>
    <row r="26" customFormat="false" ht="18" hidden="false" customHeight="true" outlineLevel="0" collapsed="false">
      <c r="A26" s="9" t="s">
        <v>152</v>
      </c>
      <c r="B26" s="11" t="n">
        <f aca="false">SUM(B14:B16)</f>
        <v>693537</v>
      </c>
      <c r="C26" s="11" t="n">
        <v>693537</v>
      </c>
      <c r="D26" s="11" t="n">
        <f aca="false">B26-C26</f>
        <v>0</v>
      </c>
      <c r="E26" s="39" t="n">
        <f aca="false">(B26-C26)/C26*100</f>
        <v>0</v>
      </c>
      <c r="F26" s="40"/>
      <c r="G26" s="40"/>
      <c r="H26" s="40"/>
    </row>
    <row r="27" customFormat="false" ht="18" hidden="false" customHeight="true" outlineLevel="0" collapsed="false">
      <c r="A27" s="9" t="s">
        <v>153</v>
      </c>
      <c r="B27" s="15" t="n">
        <f aca="false">SUM(B5:B16)</f>
        <v>3648206</v>
      </c>
      <c r="C27" s="15" t="n">
        <v>3648206</v>
      </c>
      <c r="D27" s="15" t="n">
        <f aca="false">B27-C27</f>
        <v>0</v>
      </c>
      <c r="E27" s="41" t="n">
        <f aca="false">(B27-C27)/C27*100</f>
        <v>0</v>
      </c>
      <c r="F27" s="40"/>
      <c r="G27" s="40"/>
      <c r="H27" s="40"/>
    </row>
  </sheetData>
  <mergeCells count="7">
    <mergeCell ref="A1:I1"/>
    <mergeCell ref="A2:I2"/>
    <mergeCell ref="B17:E17"/>
    <mergeCell ref="B18:E18"/>
    <mergeCell ref="B19:E19"/>
    <mergeCell ref="B20:E20"/>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40"/>
    <col collapsed="false" customWidth="true" hidden="false" outlineLevel="0" max="4" min="4" style="1" width="14"/>
    <col collapsed="false" customWidth="true" hidden="false" outlineLevel="0" max="5" min="5" style="1" width="40"/>
    <col collapsed="false" customWidth="true" hidden="false" outlineLevel="0" max="6" min="6" style="1" width="14"/>
    <col collapsed="false" customWidth="true" hidden="false" outlineLevel="0" max="7" min="7" style="1" width="16"/>
    <col collapsed="false" customWidth="true" hidden="false" outlineLevel="0" max="8" min="8" style="1" width="40"/>
  </cols>
  <sheetData>
    <row r="1" customFormat="false" ht="25.5" hidden="false" customHeight="true" outlineLevel="0" collapsed="false">
      <c r="A1" s="2" t="s">
        <v>154</v>
      </c>
      <c r="B1" s="2"/>
      <c r="C1" s="2"/>
      <c r="D1" s="2"/>
      <c r="E1" s="2"/>
      <c r="F1" s="2"/>
      <c r="G1" s="2"/>
      <c r="H1" s="2"/>
      <c r="I1" s="2"/>
    </row>
    <row r="2" customFormat="false" ht="51.75" hidden="false" customHeight="true" outlineLevel="0" collapsed="false">
      <c r="A2" s="31" t="s">
        <v>155</v>
      </c>
      <c r="B2" s="31"/>
      <c r="C2" s="31"/>
      <c r="D2" s="31"/>
      <c r="E2" s="31"/>
      <c r="F2" s="31"/>
      <c r="G2" s="31"/>
      <c r="H2" s="31"/>
      <c r="I2" s="31"/>
    </row>
    <row r="3" customFormat="false" ht="6" hidden="false" customHeight="true" outlineLevel="0" collapsed="false"/>
    <row r="4" customFormat="false" ht="36" hidden="false" customHeight="true" outlineLevel="0" collapsed="false">
      <c r="A4" s="7" t="s">
        <v>107</v>
      </c>
      <c r="B4" s="7" t="s">
        <v>156</v>
      </c>
      <c r="C4" s="7" t="s">
        <v>109</v>
      </c>
      <c r="D4" s="7" t="s">
        <v>110</v>
      </c>
      <c r="E4" s="7" t="s">
        <v>111</v>
      </c>
      <c r="F4" s="7" t="s">
        <v>28</v>
      </c>
      <c r="G4" s="7" t="s">
        <v>112</v>
      </c>
      <c r="H4" s="7" t="s">
        <v>113</v>
      </c>
    </row>
    <row r="5" customFormat="false" ht="18" hidden="false" customHeight="true" outlineLevel="0" collapsed="false">
      <c r="A5" s="32" t="s">
        <v>114</v>
      </c>
      <c r="B5" s="11" t="n">
        <v>80038</v>
      </c>
      <c r="C5" s="14" t="s">
        <v>157</v>
      </c>
      <c r="D5" s="13" t="n">
        <v>14.5</v>
      </c>
      <c r="E5" s="14" t="s">
        <v>116</v>
      </c>
      <c r="F5" s="13" t="n">
        <f aca="false">B5*D5/1000</f>
        <v>1160.551</v>
      </c>
      <c r="G5" s="33" t="n">
        <f aca="false">F5/$F$18*100</f>
        <v>1.80763970135647</v>
      </c>
      <c r="H5" s="14" t="s">
        <v>158</v>
      </c>
    </row>
    <row r="6" customFormat="false" ht="18" hidden="false" customHeight="true" outlineLevel="0" collapsed="false">
      <c r="A6" s="32" t="s">
        <v>118</v>
      </c>
      <c r="B6" s="15" t="n">
        <v>79550</v>
      </c>
      <c r="C6" s="18" t="s">
        <v>157</v>
      </c>
      <c r="D6" s="17" t="n">
        <v>27</v>
      </c>
      <c r="E6" s="18" t="s">
        <v>116</v>
      </c>
      <c r="F6" s="17" t="n">
        <f aca="false">B6*D6/1000</f>
        <v>2147.85</v>
      </c>
      <c r="G6" s="34" t="n">
        <f aca="false">F6/$F$18*100</f>
        <v>3.34542724323057</v>
      </c>
      <c r="H6" s="18" t="s">
        <v>159</v>
      </c>
    </row>
    <row r="7" customFormat="false" ht="18" hidden="false" customHeight="true" outlineLevel="0" collapsed="false">
      <c r="A7" s="32" t="s">
        <v>120</v>
      </c>
      <c r="B7" s="11" t="n">
        <v>75394</v>
      </c>
      <c r="C7" s="14" t="s">
        <v>157</v>
      </c>
      <c r="D7" s="13" t="n">
        <v>50</v>
      </c>
      <c r="E7" s="14" t="s">
        <v>116</v>
      </c>
      <c r="F7" s="13" t="n">
        <f aca="false">B7*D7/1000</f>
        <v>3769.7</v>
      </c>
      <c r="G7" s="33" t="n">
        <f aca="false">F7/$F$18*100</f>
        <v>5.87157253942607</v>
      </c>
      <c r="H7" s="14" t="s">
        <v>160</v>
      </c>
    </row>
    <row r="8" customFormat="false" ht="18" hidden="false" customHeight="true" outlineLevel="0" collapsed="false">
      <c r="A8" s="32" t="s">
        <v>122</v>
      </c>
      <c r="B8" s="15" t="n">
        <v>67671</v>
      </c>
      <c r="C8" s="18" t="s">
        <v>157</v>
      </c>
      <c r="D8" s="17" t="n">
        <v>70.5</v>
      </c>
      <c r="E8" s="18" t="s">
        <v>116</v>
      </c>
      <c r="F8" s="17" t="n">
        <f aca="false">B8*D8/1000</f>
        <v>4770.8055</v>
      </c>
      <c r="G8" s="34" t="n">
        <f aca="false">F8/$F$18*100</f>
        <v>7.43086467483961</v>
      </c>
      <c r="H8" s="18" t="s">
        <v>161</v>
      </c>
    </row>
    <row r="9" customFormat="false" ht="18" hidden="false" customHeight="true" outlineLevel="0" collapsed="false">
      <c r="A9" s="32" t="s">
        <v>124</v>
      </c>
      <c r="B9" s="11" t="n">
        <v>77321</v>
      </c>
      <c r="C9" s="14" t="s">
        <v>157</v>
      </c>
      <c r="D9" s="13" t="n">
        <v>70.5</v>
      </c>
      <c r="E9" s="14" t="s">
        <v>116</v>
      </c>
      <c r="F9" s="13" t="n">
        <f aca="false">B9*D9/1000</f>
        <v>5451.1305</v>
      </c>
      <c r="G9" s="33" t="n">
        <f aca="false">F9/$F$18*100</f>
        <v>8.49051864939595</v>
      </c>
      <c r="H9" s="14" t="s">
        <v>162</v>
      </c>
    </row>
    <row r="10" customFormat="false" ht="18" hidden="false" customHeight="true" outlineLevel="0" collapsed="false">
      <c r="A10" s="32" t="s">
        <v>126</v>
      </c>
      <c r="B10" s="15" t="n">
        <v>209556</v>
      </c>
      <c r="C10" s="18" t="s">
        <v>157</v>
      </c>
      <c r="D10" s="17" t="n">
        <v>75.5</v>
      </c>
      <c r="E10" s="18" t="s">
        <v>116</v>
      </c>
      <c r="F10" s="17" t="n">
        <f aca="false">B10*D10/1000</f>
        <v>15821.478</v>
      </c>
      <c r="G10" s="34" t="n">
        <f aca="false">F10/$F$18*100</f>
        <v>24.6430633095296</v>
      </c>
      <c r="H10" s="18" t="s">
        <v>127</v>
      </c>
    </row>
    <row r="11" customFormat="false" ht="18" hidden="false" customHeight="true" outlineLevel="0" collapsed="false">
      <c r="A11" s="32" t="s">
        <v>128</v>
      </c>
      <c r="B11" s="11" t="n">
        <v>186382</v>
      </c>
      <c r="C11" s="14" t="s">
        <v>157</v>
      </c>
      <c r="D11" s="13" t="n">
        <v>79</v>
      </c>
      <c r="E11" s="14" t="s">
        <v>116</v>
      </c>
      <c r="F11" s="13" t="n">
        <f aca="false">B11*D11/1000</f>
        <v>14724.178</v>
      </c>
      <c r="G11" s="33" t="n">
        <f aca="false">F11/$F$18*100</f>
        <v>22.933941483519</v>
      </c>
      <c r="H11" s="14" t="s">
        <v>129</v>
      </c>
    </row>
    <row r="12" customFormat="false" ht="18" hidden="false" customHeight="true" outlineLevel="0" collapsed="false">
      <c r="A12" s="32" t="s">
        <v>130</v>
      </c>
      <c r="B12" s="15" t="n">
        <v>160340</v>
      </c>
      <c r="C12" s="18" t="s">
        <v>157</v>
      </c>
      <c r="D12" s="17" t="n">
        <v>82</v>
      </c>
      <c r="E12" s="18" t="s">
        <v>116</v>
      </c>
      <c r="F12" s="17" t="n">
        <f aca="false">B12*D12/1000</f>
        <v>13147.88</v>
      </c>
      <c r="G12" s="34" t="n">
        <f aca="false">F12/$F$18*100</f>
        <v>20.4787466269648</v>
      </c>
      <c r="H12" s="18" t="s">
        <v>163</v>
      </c>
    </row>
    <row r="13" customFormat="false" ht="18" hidden="false" customHeight="true" outlineLevel="0" collapsed="false">
      <c r="A13" s="32" t="s">
        <v>132</v>
      </c>
      <c r="B13" s="11" t="n">
        <v>124692</v>
      </c>
      <c r="C13" s="14" t="s">
        <v>157</v>
      </c>
      <c r="D13" s="13" t="n">
        <v>82.5</v>
      </c>
      <c r="E13" s="14" t="s">
        <v>116</v>
      </c>
      <c r="F13" s="13" t="n">
        <f aca="false">B13*D13/1000</f>
        <v>10287.09</v>
      </c>
      <c r="G13" s="33" t="n">
        <f aca="false">F13/$F$18*100</f>
        <v>16.022865255751</v>
      </c>
      <c r="H13" s="14" t="s">
        <v>133</v>
      </c>
    </row>
    <row r="14" customFormat="false" ht="18" hidden="false" customHeight="true" outlineLevel="0" collapsed="false">
      <c r="A14" s="32" t="s">
        <v>134</v>
      </c>
      <c r="B14" s="15" t="n">
        <v>83560</v>
      </c>
      <c r="C14" s="18" t="s">
        <v>157</v>
      </c>
      <c r="D14" s="17" t="n">
        <v>79.5</v>
      </c>
      <c r="E14" s="18" t="s">
        <v>116</v>
      </c>
      <c r="F14" s="17" t="n">
        <f aca="false">B14*D14/1000</f>
        <v>6643.02</v>
      </c>
      <c r="G14" s="34" t="n">
        <f aca="false">F14/$F$18*100</f>
        <v>10.346970265766</v>
      </c>
      <c r="H14" s="18" t="s">
        <v>135</v>
      </c>
    </row>
    <row r="15" customFormat="false" ht="18" hidden="false" customHeight="true" outlineLevel="0" collapsed="false">
      <c r="A15" s="32" t="s">
        <v>136</v>
      </c>
      <c r="B15" s="11" t="n">
        <v>49910</v>
      </c>
      <c r="C15" s="14" t="s">
        <v>157</v>
      </c>
      <c r="D15" s="13" t="n">
        <v>73.5</v>
      </c>
      <c r="E15" s="14" t="s">
        <v>116</v>
      </c>
      <c r="F15" s="13" t="n">
        <f aca="false">B15*D15/1000</f>
        <v>3668.385</v>
      </c>
      <c r="G15" s="33" t="n">
        <f aca="false">F15/$F$18*100</f>
        <v>5.71376731040733</v>
      </c>
      <c r="H15" s="14" t="s">
        <v>164</v>
      </c>
    </row>
    <row r="16" customFormat="false" ht="18" hidden="false" customHeight="true" outlineLevel="0" collapsed="false">
      <c r="A16" s="32" t="s">
        <v>138</v>
      </c>
      <c r="B16" s="15" t="n">
        <v>25556</v>
      </c>
      <c r="C16" s="18" t="s">
        <v>157</v>
      </c>
      <c r="D16" s="17" t="n">
        <v>66</v>
      </c>
      <c r="E16" s="18" t="s">
        <v>116</v>
      </c>
      <c r="F16" s="17" t="n">
        <f aca="false">B16*D16/1000</f>
        <v>1686.696</v>
      </c>
      <c r="G16" s="34" t="n">
        <f aca="false">F16/$F$18*100</f>
        <v>2.62714749607656</v>
      </c>
      <c r="H16" s="18" t="s">
        <v>165</v>
      </c>
    </row>
    <row r="17" customFormat="false" ht="18" hidden="false" customHeight="true" outlineLevel="0" collapsed="false">
      <c r="A17" s="35" t="s">
        <v>140</v>
      </c>
      <c r="B17" s="35"/>
      <c r="C17" s="35"/>
      <c r="D17" s="35"/>
      <c r="E17" s="35"/>
      <c r="F17" s="36" t="n">
        <f aca="false">SUM(F5:F7)</f>
        <v>7078.101</v>
      </c>
      <c r="G17" s="35"/>
      <c r="H17" s="35"/>
    </row>
    <row r="18" customFormat="false" ht="18" hidden="false" customHeight="true" outlineLevel="0" collapsed="false">
      <c r="A18" s="35" t="s">
        <v>141</v>
      </c>
      <c r="B18" s="35"/>
      <c r="C18" s="35"/>
      <c r="D18" s="35"/>
      <c r="E18" s="35"/>
      <c r="F18" s="36" t="n">
        <f aca="false">SUM(F8:F13)</f>
        <v>64202.562</v>
      </c>
      <c r="G18" s="35"/>
      <c r="H18" s="35"/>
    </row>
    <row r="19" customFormat="false" ht="18" hidden="false" customHeight="true" outlineLevel="0" collapsed="false">
      <c r="A19" s="35" t="s">
        <v>142</v>
      </c>
      <c r="B19" s="35"/>
      <c r="C19" s="35"/>
      <c r="D19" s="35"/>
      <c r="E19" s="35"/>
      <c r="F19" s="36" t="n">
        <f aca="false">SUM(F14:F16)</f>
        <v>11998.101</v>
      </c>
      <c r="G19" s="35"/>
      <c r="H19" s="35"/>
    </row>
    <row r="20" customFormat="false" ht="21.75" hidden="false" customHeight="true" outlineLevel="0" collapsed="false">
      <c r="A20" s="37" t="s">
        <v>166</v>
      </c>
      <c r="B20" s="37"/>
      <c r="C20" s="37"/>
      <c r="D20" s="37"/>
      <c r="E20" s="37"/>
      <c r="F20" s="38" t="n">
        <f aca="false">F17+F18+F19</f>
        <v>83278.764</v>
      </c>
      <c r="G20" s="7" t="s">
        <v>144</v>
      </c>
      <c r="H20" s="37"/>
    </row>
    <row r="21" customFormat="false" ht="7.5" hidden="false" customHeight="true" outlineLevel="0" collapsed="false"/>
    <row r="22" customFormat="false" ht="18" hidden="false" customHeight="true" outlineLevel="0" collapsed="false">
      <c r="A22" s="8" t="s">
        <v>145</v>
      </c>
      <c r="B22" s="8"/>
      <c r="C22" s="8"/>
      <c r="D22" s="8"/>
      <c r="E22" s="8"/>
      <c r="F22" s="8"/>
      <c r="G22" s="8"/>
      <c r="H22" s="8"/>
    </row>
    <row r="23" customFormat="false" ht="18" hidden="false" customHeight="true" outlineLevel="0" collapsed="false">
      <c r="A23" s="7" t="s">
        <v>107</v>
      </c>
      <c r="B23" s="7" t="s">
        <v>146</v>
      </c>
      <c r="C23" s="7" t="s">
        <v>147</v>
      </c>
      <c r="D23" s="7" t="s">
        <v>148</v>
      </c>
      <c r="E23" s="7" t="s">
        <v>149</v>
      </c>
    </row>
    <row r="24" customFormat="false" ht="18" hidden="false" customHeight="true" outlineLevel="0" collapsed="false">
      <c r="A24" s="9" t="s">
        <v>150</v>
      </c>
      <c r="B24" s="11" t="n">
        <f aca="false">SUM(B5:B7)</f>
        <v>234982</v>
      </c>
      <c r="C24" s="11" t="n">
        <v>234982</v>
      </c>
      <c r="D24" s="11" t="n">
        <f aca="false">B24-C24</f>
        <v>0</v>
      </c>
      <c r="E24" s="39" t="n">
        <f aca="false">(B24-C24)/C24*100</f>
        <v>0</v>
      </c>
      <c r="F24" s="40"/>
      <c r="G24" s="40"/>
      <c r="H24" s="40"/>
    </row>
    <row r="25" customFormat="false" ht="18" hidden="false" customHeight="true" outlineLevel="0" collapsed="false">
      <c r="A25" s="9" t="s">
        <v>151</v>
      </c>
      <c r="B25" s="15" t="n">
        <f aca="false">SUM(B8:B13)</f>
        <v>825962</v>
      </c>
      <c r="C25" s="15" t="n">
        <v>825962</v>
      </c>
      <c r="D25" s="15" t="n">
        <f aca="false">B25-C25</f>
        <v>0</v>
      </c>
      <c r="E25" s="41" t="n">
        <f aca="false">(B25-C25)/C25*100</f>
        <v>0</v>
      </c>
      <c r="F25" s="40"/>
      <c r="G25" s="40"/>
      <c r="H25" s="40"/>
    </row>
    <row r="26" customFormat="false" ht="18" hidden="false" customHeight="true" outlineLevel="0" collapsed="false">
      <c r="A26" s="9" t="s">
        <v>152</v>
      </c>
      <c r="B26" s="11" t="n">
        <f aca="false">SUM(B14:B16)</f>
        <v>159026</v>
      </c>
      <c r="C26" s="11" t="n">
        <v>159026</v>
      </c>
      <c r="D26" s="11" t="n">
        <f aca="false">B26-C26</f>
        <v>0</v>
      </c>
      <c r="E26" s="39" t="n">
        <f aca="false">(B26-C26)/C26*100</f>
        <v>0</v>
      </c>
      <c r="F26" s="40"/>
      <c r="G26" s="40"/>
      <c r="H26" s="40"/>
    </row>
    <row r="27" customFormat="false" ht="18" hidden="false" customHeight="true" outlineLevel="0" collapsed="false">
      <c r="A27" s="9" t="s">
        <v>153</v>
      </c>
      <c r="B27" s="15" t="n">
        <f aca="false">SUM(B5:B16)</f>
        <v>1219970</v>
      </c>
      <c r="C27" s="15" t="n">
        <v>1219970</v>
      </c>
      <c r="D27" s="15" t="n">
        <f aca="false">B27-C27</f>
        <v>0</v>
      </c>
      <c r="E27" s="41" t="n">
        <f aca="false">(B27-C27)/C27*100</f>
        <v>0</v>
      </c>
      <c r="F27" s="40"/>
      <c r="G27" s="40"/>
      <c r="H27" s="40"/>
    </row>
  </sheetData>
  <mergeCells count="7">
    <mergeCell ref="A1:I1"/>
    <mergeCell ref="A2:I2"/>
    <mergeCell ref="B17:E17"/>
    <mergeCell ref="B18:E18"/>
    <mergeCell ref="B19:E19"/>
    <mergeCell ref="B20:E20"/>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8"/>
    <col collapsed="false" customWidth="true" hidden="false" outlineLevel="0" max="3" min="3" style="1" width="14"/>
    <col collapsed="false" customWidth="true" hidden="false" outlineLevel="0" max="4" min="4" style="1" width="10"/>
    <col collapsed="false" customWidth="true" hidden="false" outlineLevel="0" max="5" min="5" style="1" width="14"/>
    <col collapsed="false" customWidth="true" hidden="false" outlineLevel="0" max="6" min="6" style="1" width="40"/>
    <col collapsed="false" customWidth="true" hidden="false" outlineLevel="0" max="7" min="7" style="1" width="14"/>
    <col collapsed="false" customWidth="true" hidden="false" outlineLevel="0" max="8" min="8" style="1" width="50"/>
  </cols>
  <sheetData>
    <row r="1" customFormat="false" ht="25.5" hidden="false" customHeight="true" outlineLevel="0" collapsed="false">
      <c r="A1" s="2" t="s">
        <v>167</v>
      </c>
      <c r="B1" s="2"/>
      <c r="C1" s="2"/>
      <c r="D1" s="2"/>
      <c r="E1" s="2"/>
      <c r="F1" s="2"/>
      <c r="G1" s="2"/>
      <c r="H1" s="2"/>
    </row>
    <row r="2" customFormat="false" ht="36" hidden="false" customHeight="true" outlineLevel="0" collapsed="false">
      <c r="A2" s="42" t="s">
        <v>22</v>
      </c>
      <c r="B2" s="42" t="s">
        <v>23</v>
      </c>
      <c r="C2" s="42" t="s">
        <v>24</v>
      </c>
      <c r="D2" s="42" t="s">
        <v>25</v>
      </c>
      <c r="E2" s="42" t="s">
        <v>26</v>
      </c>
      <c r="F2" s="42" t="s">
        <v>27</v>
      </c>
      <c r="G2" s="42" t="s">
        <v>28</v>
      </c>
      <c r="H2" s="42" t="s">
        <v>29</v>
      </c>
    </row>
    <row r="3" customFormat="false" ht="18" hidden="false" customHeight="true" outlineLevel="0" collapsed="false">
      <c r="A3" s="8" t="s">
        <v>30</v>
      </c>
      <c r="B3" s="8"/>
      <c r="C3" s="8"/>
      <c r="D3" s="8"/>
      <c r="E3" s="8"/>
      <c r="F3" s="8"/>
      <c r="G3" s="8"/>
      <c r="H3" s="8"/>
    </row>
    <row r="4" customFormat="false" ht="32.25" hidden="false" customHeight="true" outlineLevel="0" collapsed="false">
      <c r="A4" s="19" t="s">
        <v>31</v>
      </c>
      <c r="B4" s="20" t="s">
        <v>32</v>
      </c>
      <c r="C4" s="21" t="n">
        <v>1219970</v>
      </c>
      <c r="D4" s="22" t="s">
        <v>33</v>
      </c>
      <c r="E4" s="23" t="n">
        <f aca="false">'Human Biomass Brussels'!F20*1000/C4</f>
        <v>68.262960564604</v>
      </c>
      <c r="F4" s="24" t="s">
        <v>168</v>
      </c>
      <c r="G4" s="23" t="n">
        <f aca="false">'Human Biomass Brussels'!F20</f>
        <v>83278.764</v>
      </c>
      <c r="H4" s="24" t="s">
        <v>169</v>
      </c>
    </row>
    <row r="5" customFormat="false" ht="18" hidden="false" customHeight="true" outlineLevel="0" collapsed="false">
      <c r="A5" s="8" t="s">
        <v>36</v>
      </c>
      <c r="B5" s="8"/>
      <c r="C5" s="8"/>
      <c r="D5" s="8"/>
      <c r="E5" s="8"/>
      <c r="F5" s="8"/>
      <c r="G5" s="8"/>
      <c r="H5" s="8"/>
    </row>
    <row r="6" customFormat="false" ht="53.25" hidden="false" customHeight="true" outlineLevel="0" collapsed="false">
      <c r="A6" s="19" t="s">
        <v>37</v>
      </c>
      <c r="B6" s="25" t="s">
        <v>38</v>
      </c>
      <c r="C6" s="26" t="n">
        <v>11</v>
      </c>
      <c r="D6" s="27" t="s">
        <v>39</v>
      </c>
      <c r="E6" s="28" t="n">
        <v>200</v>
      </c>
      <c r="F6" s="29" t="s">
        <v>40</v>
      </c>
      <c r="G6" s="28" t="n">
        <f aca="false">C6*E6/1000</f>
        <v>2.2</v>
      </c>
      <c r="H6" s="29" t="s">
        <v>170</v>
      </c>
    </row>
    <row r="7" customFormat="false" ht="21.75" hidden="false" customHeight="true" outlineLevel="0" collapsed="false">
      <c r="A7" s="19" t="s">
        <v>37</v>
      </c>
      <c r="B7" s="20" t="s">
        <v>42</v>
      </c>
      <c r="C7" s="21" t="n">
        <v>80</v>
      </c>
      <c r="D7" s="22" t="s">
        <v>39</v>
      </c>
      <c r="E7" s="23" t="n">
        <v>200</v>
      </c>
      <c r="F7" s="24" t="s">
        <v>40</v>
      </c>
      <c r="G7" s="23" t="n">
        <f aca="false">C7*E7/1000</f>
        <v>16</v>
      </c>
      <c r="H7" s="24" t="s">
        <v>171</v>
      </c>
    </row>
    <row r="8" customFormat="false" ht="21.75" hidden="false" customHeight="true" outlineLevel="0" collapsed="false">
      <c r="A8" s="19" t="s">
        <v>37</v>
      </c>
      <c r="B8" s="25" t="s">
        <v>44</v>
      </c>
      <c r="C8" s="26" t="n">
        <v>165</v>
      </c>
      <c r="D8" s="27" t="s">
        <v>39</v>
      </c>
      <c r="E8" s="28" t="n">
        <v>200</v>
      </c>
      <c r="F8" s="29" t="s">
        <v>40</v>
      </c>
      <c r="G8" s="28" t="n">
        <f aca="false">C8*E8/1000</f>
        <v>33</v>
      </c>
      <c r="H8" s="29" t="s">
        <v>172</v>
      </c>
    </row>
    <row r="9" customFormat="false" ht="21.75" hidden="false" customHeight="true" outlineLevel="0" collapsed="false">
      <c r="A9" s="19" t="s">
        <v>37</v>
      </c>
      <c r="B9" s="20" t="s">
        <v>46</v>
      </c>
      <c r="C9" s="21" t="n">
        <v>44</v>
      </c>
      <c r="D9" s="22" t="s">
        <v>39</v>
      </c>
      <c r="E9" s="23" t="n">
        <v>455</v>
      </c>
      <c r="F9" s="24" t="s">
        <v>47</v>
      </c>
      <c r="G9" s="23" t="n">
        <f aca="false">C9*E9/1000</f>
        <v>20.02</v>
      </c>
      <c r="H9" s="24" t="s">
        <v>173</v>
      </c>
    </row>
    <row r="10" customFormat="false" ht="21.75" hidden="false" customHeight="true" outlineLevel="0" collapsed="false">
      <c r="A10" s="19" t="s">
        <v>37</v>
      </c>
      <c r="B10" s="25" t="s">
        <v>49</v>
      </c>
      <c r="C10" s="26" t="n">
        <v>8</v>
      </c>
      <c r="D10" s="27" t="s">
        <v>39</v>
      </c>
      <c r="E10" s="28" t="n">
        <v>455</v>
      </c>
      <c r="F10" s="29" t="s">
        <v>47</v>
      </c>
      <c r="G10" s="28" t="n">
        <f aca="false">C10*E10/1000</f>
        <v>3.64</v>
      </c>
      <c r="H10" s="29" t="s">
        <v>174</v>
      </c>
    </row>
    <row r="11" customFormat="false" ht="21.75" hidden="false" customHeight="true" outlineLevel="0" collapsed="false">
      <c r="A11" s="19" t="s">
        <v>37</v>
      </c>
      <c r="B11" s="20" t="s">
        <v>51</v>
      </c>
      <c r="C11" s="21" t="n">
        <v>160</v>
      </c>
      <c r="D11" s="22" t="s">
        <v>39</v>
      </c>
      <c r="E11" s="23" t="n">
        <v>455</v>
      </c>
      <c r="F11" s="24" t="s">
        <v>47</v>
      </c>
      <c r="G11" s="23" t="n">
        <f aca="false">C11*E11/1000</f>
        <v>72.8</v>
      </c>
      <c r="H11" s="24" t="s">
        <v>175</v>
      </c>
    </row>
    <row r="12" customFormat="false" ht="15" hidden="false" customHeight="true" outlineLevel="0" collapsed="false">
      <c r="A12" s="19" t="s">
        <v>37</v>
      </c>
      <c r="B12" s="25" t="s">
        <v>53</v>
      </c>
      <c r="C12" s="26" t="n">
        <v>14</v>
      </c>
      <c r="D12" s="27" t="s">
        <v>39</v>
      </c>
      <c r="E12" s="28" t="n">
        <v>875</v>
      </c>
      <c r="F12" s="29" t="s">
        <v>54</v>
      </c>
      <c r="G12" s="28" t="n">
        <f aca="false">C12*E12/1000</f>
        <v>12.25</v>
      </c>
      <c r="H12" s="29" t="s">
        <v>176</v>
      </c>
    </row>
    <row r="13" customFormat="false" ht="21.75" hidden="false" customHeight="true" outlineLevel="0" collapsed="false">
      <c r="A13" s="19" t="s">
        <v>37</v>
      </c>
      <c r="B13" s="20" t="s">
        <v>56</v>
      </c>
      <c r="C13" s="21" t="n">
        <v>8</v>
      </c>
      <c r="D13" s="22" t="s">
        <v>39</v>
      </c>
      <c r="E13" s="23" t="n">
        <v>650</v>
      </c>
      <c r="F13" s="24" t="s">
        <v>57</v>
      </c>
      <c r="G13" s="23" t="n">
        <f aca="false">C13*E13/1000</f>
        <v>5.2</v>
      </c>
      <c r="H13" s="24" t="s">
        <v>177</v>
      </c>
    </row>
    <row r="14" customFormat="false" ht="21.75" hidden="false" customHeight="true" outlineLevel="0" collapsed="false">
      <c r="A14" s="19" t="s">
        <v>37</v>
      </c>
      <c r="B14" s="25" t="s">
        <v>59</v>
      </c>
      <c r="C14" s="26" t="n">
        <v>124</v>
      </c>
      <c r="D14" s="27" t="s">
        <v>39</v>
      </c>
      <c r="E14" s="28" t="n">
        <v>650</v>
      </c>
      <c r="F14" s="29" t="s">
        <v>57</v>
      </c>
      <c r="G14" s="28" t="n">
        <f aca="false">C14*E14/1000</f>
        <v>80.6</v>
      </c>
      <c r="H14" s="29" t="s">
        <v>178</v>
      </c>
    </row>
    <row r="15" customFormat="false" ht="21.75" hidden="false" customHeight="true" outlineLevel="0" collapsed="false">
      <c r="A15" s="19" t="s">
        <v>37</v>
      </c>
      <c r="B15" s="20" t="s">
        <v>61</v>
      </c>
      <c r="C15" s="21" t="n">
        <v>256</v>
      </c>
      <c r="D15" s="22" t="s">
        <v>39</v>
      </c>
      <c r="E15" s="23" t="n">
        <v>600</v>
      </c>
      <c r="F15" s="24" t="s">
        <v>62</v>
      </c>
      <c r="G15" s="23" t="n">
        <f aca="false">C15*E15/1000</f>
        <v>153.6</v>
      </c>
      <c r="H15" s="24" t="s">
        <v>179</v>
      </c>
    </row>
    <row r="16" customFormat="false" ht="21.75" hidden="false" customHeight="true" outlineLevel="0" collapsed="false">
      <c r="A16" s="19" t="s">
        <v>37</v>
      </c>
      <c r="B16" s="25" t="s">
        <v>64</v>
      </c>
      <c r="C16" s="26" t="n">
        <v>0</v>
      </c>
      <c r="D16" s="27" t="s">
        <v>39</v>
      </c>
      <c r="E16" s="28" t="n">
        <v>600</v>
      </c>
      <c r="F16" s="29" t="s">
        <v>62</v>
      </c>
      <c r="G16" s="28" t="n">
        <f aca="false">C16*E16/1000</f>
        <v>0</v>
      </c>
      <c r="H16" s="29" t="s">
        <v>180</v>
      </c>
    </row>
    <row r="17" customFormat="false" ht="32.25" hidden="false" customHeight="true" outlineLevel="0" collapsed="false">
      <c r="A17" s="19" t="s">
        <v>37</v>
      </c>
      <c r="B17" s="20" t="s">
        <v>66</v>
      </c>
      <c r="C17" s="21" t="n">
        <v>192</v>
      </c>
      <c r="D17" s="22" t="s">
        <v>39</v>
      </c>
      <c r="E17" s="23" t="n">
        <v>600</v>
      </c>
      <c r="F17" s="24" t="s">
        <v>62</v>
      </c>
      <c r="G17" s="23" t="n">
        <f aca="false">C17*E17/1000</f>
        <v>115.2</v>
      </c>
      <c r="H17" s="24" t="s">
        <v>181</v>
      </c>
    </row>
    <row r="18" customFormat="false" ht="21.75" hidden="false" customHeight="true" outlineLevel="0" collapsed="false">
      <c r="A18" s="19" t="s">
        <v>37</v>
      </c>
      <c r="B18" s="25" t="s">
        <v>68</v>
      </c>
      <c r="C18" s="26" t="n">
        <v>57</v>
      </c>
      <c r="D18" s="27" t="s">
        <v>39</v>
      </c>
      <c r="E18" s="28" t="n">
        <v>600</v>
      </c>
      <c r="F18" s="29" t="s">
        <v>62</v>
      </c>
      <c r="G18" s="28" t="n">
        <f aca="false">C18*E18/1000</f>
        <v>34.2</v>
      </c>
      <c r="H18" s="29" t="s">
        <v>182</v>
      </c>
    </row>
    <row r="19" customFormat="false" ht="18" hidden="false" customHeight="true" outlineLevel="0" collapsed="false">
      <c r="A19" s="30" t="s">
        <v>79</v>
      </c>
      <c r="B19" s="30"/>
      <c r="C19" s="30"/>
      <c r="D19" s="30"/>
      <c r="E19" s="30"/>
      <c r="F19" s="30"/>
      <c r="G19" s="30"/>
      <c r="H19" s="30"/>
    </row>
    <row r="20" customFormat="false" ht="105.75" hidden="false" customHeight="true" outlineLevel="0" collapsed="false">
      <c r="A20" s="19" t="s">
        <v>80</v>
      </c>
      <c r="B20" s="20" t="s">
        <v>183</v>
      </c>
      <c r="C20" s="21" t="n">
        <v>0</v>
      </c>
      <c r="D20" s="22" t="s">
        <v>33</v>
      </c>
      <c r="E20" s="23" t="n">
        <v>0</v>
      </c>
      <c r="F20" s="24" t="s">
        <v>184</v>
      </c>
      <c r="G20" s="23" t="n">
        <v>0</v>
      </c>
      <c r="H20" s="24" t="s">
        <v>185</v>
      </c>
    </row>
  </sheetData>
  <mergeCells count="3">
    <mergeCell ref="A1:H1"/>
    <mergeCell ref="A3:H3"/>
    <mergeCell ref="A5:H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6"/>
    <col collapsed="false" customWidth="true" hidden="false" outlineLevel="0" max="4" min="4" style="1" width="14"/>
    <col collapsed="false" customWidth="true" hidden="false" outlineLevel="0" max="6" min="5" style="1" width="16"/>
    <col collapsed="false" customWidth="true" hidden="false" outlineLevel="0" max="7" min="7" style="1" width="50"/>
  </cols>
  <sheetData>
    <row r="1" customFormat="false" ht="25.5" hidden="false" customHeight="true" outlineLevel="0" collapsed="false">
      <c r="A1" s="2" t="s">
        <v>186</v>
      </c>
      <c r="B1" s="2"/>
      <c r="C1" s="2"/>
      <c r="D1" s="2"/>
      <c r="E1" s="2"/>
      <c r="F1" s="2"/>
      <c r="G1" s="2"/>
    </row>
    <row r="3" customFormat="false" ht="18" hidden="false" customHeight="true" outlineLevel="0" collapsed="false">
      <c r="A3" s="43" t="s">
        <v>187</v>
      </c>
      <c r="B3" s="43"/>
      <c r="C3" s="43"/>
      <c r="D3" s="43"/>
      <c r="E3" s="43"/>
      <c r="F3" s="43"/>
      <c r="G3" s="43"/>
    </row>
    <row r="4" customFormat="false" ht="36" hidden="false" customHeight="true" outlineLevel="0" collapsed="false">
      <c r="A4" s="7" t="s">
        <v>22</v>
      </c>
      <c r="B4" s="7" t="s">
        <v>188</v>
      </c>
      <c r="C4" s="7" t="s">
        <v>28</v>
      </c>
      <c r="D4" s="7" t="s">
        <v>189</v>
      </c>
      <c r="E4" s="7" t="s">
        <v>190</v>
      </c>
      <c r="F4" s="7" t="s">
        <v>191</v>
      </c>
      <c r="G4" s="7" t="s">
        <v>113</v>
      </c>
    </row>
    <row r="5" customFormat="false" ht="18" hidden="false" customHeight="true" outlineLevel="0" collapsed="false">
      <c r="A5" s="3" t="s">
        <v>31</v>
      </c>
      <c r="B5" s="10" t="s">
        <v>192</v>
      </c>
      <c r="C5" s="13" t="n">
        <f aca="false">'Input Data'!G4</f>
        <v>254577.176</v>
      </c>
      <c r="D5" s="33" t="n">
        <f aca="false">C5/$C$22*100</f>
        <v>31.4189388039316</v>
      </c>
      <c r="E5" s="11" t="n">
        <v>237000</v>
      </c>
      <c r="F5" s="11" t="n">
        <v>271000</v>
      </c>
      <c r="G5" s="14" t="s">
        <v>193</v>
      </c>
    </row>
    <row r="6" customFormat="false" ht="18" hidden="false" customHeight="true" outlineLevel="0" collapsed="false">
      <c r="A6" s="3" t="s">
        <v>194</v>
      </c>
      <c r="B6" s="4" t="s">
        <v>195</v>
      </c>
      <c r="C6" s="17" t="n">
        <f aca="false">SUM('Input Data'!G6:G18)</f>
        <v>466743.9</v>
      </c>
      <c r="D6" s="34" t="n">
        <f aca="false">C6/$C$22*100</f>
        <v>57.6037422585297</v>
      </c>
      <c r="E6" s="15" t="n">
        <v>380000</v>
      </c>
      <c r="F6" s="15" t="n">
        <v>500000</v>
      </c>
      <c r="G6" s="18" t="s">
        <v>196</v>
      </c>
    </row>
    <row r="7" customFormat="false" ht="18" hidden="false" customHeight="true" outlineLevel="0" collapsed="false">
      <c r="A7" s="3" t="s">
        <v>194</v>
      </c>
      <c r="B7" s="10" t="s">
        <v>197</v>
      </c>
      <c r="C7" s="13" t="n">
        <f aca="false">'Input Data'!G19</f>
        <v>28075.324</v>
      </c>
      <c r="D7" s="33" t="n">
        <f aca="false">C7/$C$22*100</f>
        <v>3.46494882422826</v>
      </c>
      <c r="E7" s="11" t="n">
        <v>22000</v>
      </c>
      <c r="F7" s="11" t="n">
        <v>38000</v>
      </c>
      <c r="G7" s="14" t="s">
        <v>198</v>
      </c>
    </row>
    <row r="8" customFormat="false" ht="18" hidden="false" customHeight="true" outlineLevel="0" collapsed="false">
      <c r="A8" s="3" t="s">
        <v>194</v>
      </c>
      <c r="B8" s="4" t="s">
        <v>73</v>
      </c>
      <c r="C8" s="17" t="n">
        <f aca="false">'Input Data'!G20</f>
        <v>50500</v>
      </c>
      <c r="D8" s="34" t="n">
        <f aca="false">C8/$C$22*100</f>
        <v>6.23251634152209</v>
      </c>
      <c r="E8" s="15" t="n">
        <v>40500</v>
      </c>
      <c r="F8" s="15" t="n">
        <v>60500</v>
      </c>
      <c r="G8" s="18" t="s">
        <v>199</v>
      </c>
    </row>
    <row r="9" customFormat="false" ht="18" hidden="false" customHeight="true" outlineLevel="0" collapsed="false">
      <c r="A9" s="3" t="s">
        <v>194</v>
      </c>
      <c r="B9" s="10" t="s">
        <v>76</v>
      </c>
      <c r="C9" s="13" t="n">
        <f aca="false">'Input Data'!G21</f>
        <v>7830</v>
      </c>
      <c r="D9" s="33" t="n">
        <f aca="false">C9/$C$22*100</f>
        <v>0.966348573348871</v>
      </c>
      <c r="E9" s="11" t="n">
        <v>6200</v>
      </c>
      <c r="F9" s="11" t="n">
        <v>9300</v>
      </c>
      <c r="G9" s="14" t="s">
        <v>200</v>
      </c>
    </row>
    <row r="10" customFormat="false" ht="18" hidden="false" customHeight="true" outlineLevel="0" collapsed="false">
      <c r="A10" s="3" t="s">
        <v>201</v>
      </c>
      <c r="B10" s="4" t="s">
        <v>202</v>
      </c>
      <c r="C10" s="17" t="n">
        <f aca="false">'Input Data'!G23</f>
        <v>800</v>
      </c>
      <c r="D10" s="34" t="n">
        <f aca="false">C10/$C$22*100</f>
        <v>0.0987329321429242</v>
      </c>
      <c r="E10" s="15" t="n">
        <v>400</v>
      </c>
      <c r="F10" s="15" t="n">
        <v>1600</v>
      </c>
      <c r="G10" s="18" t="s">
        <v>203</v>
      </c>
    </row>
    <row r="11" customFormat="false" ht="18" hidden="false" customHeight="true" outlineLevel="0" collapsed="false">
      <c r="A11" s="3" t="s">
        <v>201</v>
      </c>
      <c r="B11" s="10" t="s">
        <v>204</v>
      </c>
      <c r="C11" s="13" t="n">
        <f aca="false">'Input Data'!G24</f>
        <v>550</v>
      </c>
      <c r="D11" s="33" t="n">
        <f aca="false">C11/$C$22*100</f>
        <v>0.0678788908482604</v>
      </c>
      <c r="E11" s="11" t="n">
        <v>275</v>
      </c>
      <c r="F11" s="11" t="n">
        <v>1100</v>
      </c>
      <c r="G11" s="14" t="s">
        <v>205</v>
      </c>
    </row>
    <row r="12" customFormat="false" ht="18" hidden="false" customHeight="true" outlineLevel="0" collapsed="false">
      <c r="A12" s="3" t="s">
        <v>201</v>
      </c>
      <c r="B12" s="4" t="s">
        <v>206</v>
      </c>
      <c r="C12" s="17" t="n">
        <f aca="false">'Input Data'!G25</f>
        <v>1115.628</v>
      </c>
      <c r="D12" s="34" t="n">
        <f aca="false">C12/$C$22*100</f>
        <v>0.137686529525933</v>
      </c>
      <c r="E12" s="15" t="n">
        <v>558</v>
      </c>
      <c r="F12" s="15" t="n">
        <v>2232</v>
      </c>
      <c r="G12" s="18" t="s">
        <v>207</v>
      </c>
    </row>
    <row r="13" customFormat="false" ht="18" hidden="false" customHeight="true" outlineLevel="0" collapsed="false">
      <c r="A13" s="5" t="s">
        <v>201</v>
      </c>
      <c r="B13" s="20" t="s">
        <v>208</v>
      </c>
      <c r="C13" s="23" t="n">
        <f aca="false">'Input Data'!G26</f>
        <v>55</v>
      </c>
      <c r="D13" s="44" t="n">
        <f aca="false">C13/$C$22*100</f>
        <v>0.00678788908482604</v>
      </c>
      <c r="E13" s="21" t="n">
        <v>1100</v>
      </c>
      <c r="F13" s="21" t="n">
        <v>4400</v>
      </c>
      <c r="G13" s="24" t="s">
        <v>209</v>
      </c>
    </row>
    <row r="14" customFormat="false" ht="18" hidden="false" customHeight="true" outlineLevel="0" collapsed="false">
      <c r="A14" s="5" t="s">
        <v>201</v>
      </c>
      <c r="B14" s="25" t="s">
        <v>210</v>
      </c>
      <c r="C14" s="28" t="n">
        <f aca="false">'Input Data'!G27</f>
        <v>13.5</v>
      </c>
      <c r="D14" s="45" t="n">
        <f aca="false">C14/$C$22*100</f>
        <v>0.00166611822991185</v>
      </c>
      <c r="E14" s="26" t="n">
        <v>2</v>
      </c>
      <c r="F14" s="26" t="n">
        <v>23</v>
      </c>
      <c r="G14" s="29" t="s">
        <v>211</v>
      </c>
    </row>
    <row r="15" customFormat="false" ht="18" hidden="false" customHeight="true" outlineLevel="0" collapsed="false">
      <c r="A15" s="5" t="s">
        <v>201</v>
      </c>
      <c r="B15" s="20" t="s">
        <v>212</v>
      </c>
      <c r="C15" s="23" t="n">
        <f aca="false">'Input Data'!G28</f>
        <v>4.95</v>
      </c>
      <c r="D15" s="44" t="n">
        <f aca="false">C15/$C$22*100</f>
        <v>0.000610910017634343</v>
      </c>
      <c r="E15" s="21" t="n">
        <v>150</v>
      </c>
      <c r="F15" s="21" t="n">
        <v>7500</v>
      </c>
      <c r="G15" s="24" t="s">
        <v>213</v>
      </c>
    </row>
    <row r="16" customFormat="false" ht="18" hidden="false" customHeight="true" outlineLevel="0" collapsed="false">
      <c r="A16" s="5" t="s">
        <v>201</v>
      </c>
      <c r="B16" s="25" t="s">
        <v>214</v>
      </c>
      <c r="C16" s="28" t="n">
        <f aca="false">'Input Data'!G29</f>
        <v>0.95</v>
      </c>
      <c r="D16" s="45" t="n">
        <f aca="false">C16/$C$22*100</f>
        <v>0.000117245356919722</v>
      </c>
      <c r="E16" s="26" t="n">
        <v>0</v>
      </c>
      <c r="F16" s="26" t="n">
        <v>2</v>
      </c>
      <c r="G16" s="29" t="s">
        <v>215</v>
      </c>
    </row>
    <row r="17" customFormat="false" ht="18" hidden="false" customHeight="true" outlineLevel="0" collapsed="false">
      <c r="A17" s="5" t="s">
        <v>201</v>
      </c>
      <c r="B17" s="20" t="s">
        <v>216</v>
      </c>
      <c r="C17" s="23" t="n">
        <f aca="false">'Input Data'!G30</f>
        <v>0.2</v>
      </c>
      <c r="D17" s="44" t="n">
        <f aca="false">C17/$C$22*100</f>
        <v>2.46832330357311E-005</v>
      </c>
      <c r="E17" s="21" t="n">
        <v>0</v>
      </c>
      <c r="F17" s="21" t="n">
        <v>0</v>
      </c>
      <c r="G17" s="24" t="s">
        <v>217</v>
      </c>
    </row>
    <row r="18" customFormat="false" ht="13.5" hidden="false" customHeight="true" outlineLevel="0" collapsed="false">
      <c r="A18" s="30" t="s">
        <v>218</v>
      </c>
      <c r="B18" s="30"/>
      <c r="C18" s="30"/>
      <c r="D18" s="30"/>
      <c r="E18" s="30"/>
      <c r="F18" s="30"/>
      <c r="G18" s="30"/>
    </row>
    <row r="19" customFormat="false" ht="19.5" hidden="false" customHeight="true" outlineLevel="0" collapsed="false">
      <c r="A19" s="35" t="s">
        <v>219</v>
      </c>
      <c r="B19" s="46"/>
      <c r="C19" s="47" t="n">
        <f aca="false">C5</f>
        <v>254577.176</v>
      </c>
      <c r="D19" s="48" t="n">
        <f aca="false">C19/$C$22*100</f>
        <v>31.4189388039316</v>
      </c>
      <c r="E19" s="46"/>
      <c r="F19" s="46"/>
      <c r="G19" s="46"/>
    </row>
    <row r="20" customFormat="false" ht="19.5" hidden="false" customHeight="true" outlineLevel="0" collapsed="false">
      <c r="A20" s="35" t="s">
        <v>220</v>
      </c>
      <c r="B20" s="35"/>
      <c r="C20" s="36" t="n">
        <f aca="false">C6+C7+C8+C9</f>
        <v>553149.224</v>
      </c>
      <c r="D20" s="49" t="n">
        <f aca="false">C20/$C$22*100</f>
        <v>68.267555997629</v>
      </c>
      <c r="E20" s="35"/>
      <c r="F20" s="35"/>
      <c r="G20" s="35"/>
    </row>
    <row r="21" customFormat="false" ht="19.5" hidden="false" customHeight="true" outlineLevel="0" collapsed="false">
      <c r="A21" s="35" t="s">
        <v>221</v>
      </c>
      <c r="B21" s="35"/>
      <c r="C21" s="36" t="n">
        <f aca="false">C10+C11+C12+C13+C14+C15+C16+C17</f>
        <v>2540.228</v>
      </c>
      <c r="D21" s="49" t="n">
        <f aca="false">C21/$C$22*100</f>
        <v>0.313505198439445</v>
      </c>
      <c r="E21" s="35"/>
      <c r="F21" s="35"/>
      <c r="G21" s="35"/>
    </row>
    <row r="22" customFormat="false" ht="21.75" hidden="false" customHeight="true" outlineLevel="0" collapsed="false">
      <c r="A22" s="37" t="s">
        <v>222</v>
      </c>
      <c r="B22" s="37"/>
      <c r="C22" s="38" t="n">
        <f aca="false">C19+C20+C21</f>
        <v>810266.628</v>
      </c>
      <c r="D22" s="50" t="n">
        <f aca="false">100</f>
        <v>100</v>
      </c>
      <c r="E22" s="37"/>
      <c r="F22" s="37"/>
      <c r="G22" s="37"/>
    </row>
    <row r="23" customFormat="false" ht="39.75" hidden="false" customHeight="true" outlineLevel="0" collapsed="false"/>
    <row r="24" customFormat="false" ht="18" hidden="false" customHeight="true" outlineLevel="0" collapsed="false">
      <c r="A24" s="5" t="s">
        <v>223</v>
      </c>
    </row>
    <row r="25" customFormat="false" ht="30" hidden="false" customHeight="true" outlineLevel="0" collapsed="false">
      <c r="A25" s="7" t="s">
        <v>224</v>
      </c>
      <c r="B25" s="7"/>
      <c r="C25" s="7"/>
      <c r="D25" s="7"/>
      <c r="E25" s="7"/>
      <c r="F25" s="7"/>
      <c r="G25" s="7"/>
    </row>
    <row r="26" customFormat="false" ht="18" hidden="false" customHeight="true" outlineLevel="0" collapsed="false">
      <c r="A26" s="3" t="s">
        <v>225</v>
      </c>
      <c r="B26" s="10" t="s">
        <v>226</v>
      </c>
      <c r="C26" s="10" t="s">
        <v>227</v>
      </c>
      <c r="D26" s="51" t="s">
        <v>228</v>
      </c>
      <c r="E26" s="10" t="s">
        <v>229</v>
      </c>
      <c r="F26" s="10" t="s">
        <v>230</v>
      </c>
      <c r="G26" s="10" t="s">
        <v>231</v>
      </c>
    </row>
    <row r="27" customFormat="false" ht="18" hidden="false" customHeight="true" outlineLevel="0" collapsed="false">
      <c r="A27" s="3" t="s">
        <v>232</v>
      </c>
      <c r="B27" s="4" t="s">
        <v>233</v>
      </c>
      <c r="C27" s="4" t="s">
        <v>234</v>
      </c>
      <c r="D27" s="52" t="s">
        <v>235</v>
      </c>
      <c r="E27" s="4" t="s">
        <v>236</v>
      </c>
      <c r="F27" s="4" t="s">
        <v>237</v>
      </c>
      <c r="G27" s="4" t="s">
        <v>238</v>
      </c>
    </row>
    <row r="28" customFormat="false" ht="18" hidden="false" customHeight="true" outlineLevel="0" collapsed="false">
      <c r="A28" s="3" t="s">
        <v>239</v>
      </c>
      <c r="B28" s="53" t="str">
        <f aca="false">TEXT(C21/$C$22*100,"0.00")&amp;"%"</f>
        <v>0.31%</v>
      </c>
      <c r="C28" s="53" t="str">
        <f aca="false">TEXT(C20/$C$22*100,"0.0")&amp;"%"</f>
        <v>68.3%</v>
      </c>
      <c r="D28" s="54" t="str">
        <f aca="false">TEXT(C19/$C$22*100,"0.0")&amp;"%"</f>
        <v>31.4%</v>
      </c>
      <c r="E28" s="53" t="s">
        <v>240</v>
      </c>
      <c r="F28" s="53" t="s">
        <v>241</v>
      </c>
      <c r="G28" s="53" t="s">
        <v>242</v>
      </c>
    </row>
    <row r="30" customFormat="false" ht="72" hidden="false" customHeight="true" outlineLevel="0" collapsed="false">
      <c r="A30" s="55" t="s">
        <v>243</v>
      </c>
      <c r="B30" s="56"/>
      <c r="C30" s="56"/>
      <c r="D30" s="56"/>
      <c r="E30" s="56"/>
      <c r="F30" s="56"/>
      <c r="G30" s="57"/>
    </row>
  </sheetData>
  <mergeCells count="3">
    <mergeCell ref="A1:G1"/>
    <mergeCell ref="A3:G3"/>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16"/>
    <col collapsed="false" customWidth="true" hidden="false" outlineLevel="0" max="4" min="4" style="1" width="14"/>
    <col collapsed="false" customWidth="true" hidden="false" outlineLevel="0" max="6" min="5" style="1" width="16"/>
    <col collapsed="false" customWidth="true" hidden="false" outlineLevel="0" max="7" min="7" style="1" width="50"/>
  </cols>
  <sheetData>
    <row r="1" customFormat="false" ht="25.5" hidden="false" customHeight="true" outlineLevel="0" collapsed="false">
      <c r="A1" s="2" t="s">
        <v>244</v>
      </c>
      <c r="B1" s="2"/>
      <c r="C1" s="2"/>
      <c r="D1" s="2"/>
      <c r="E1" s="2"/>
      <c r="F1" s="2"/>
      <c r="G1" s="2"/>
    </row>
    <row r="3" customFormat="false" ht="18" hidden="false" customHeight="true" outlineLevel="0" collapsed="false">
      <c r="A3" s="43" t="s">
        <v>245</v>
      </c>
      <c r="B3" s="43"/>
      <c r="C3" s="43"/>
      <c r="D3" s="43"/>
      <c r="E3" s="43"/>
      <c r="F3" s="43"/>
      <c r="G3" s="43"/>
    </row>
    <row r="4" customFormat="false" ht="36" hidden="false" customHeight="true" outlineLevel="0" collapsed="false">
      <c r="A4" s="7" t="s">
        <v>22</v>
      </c>
      <c r="B4" s="7" t="s">
        <v>188</v>
      </c>
      <c r="C4" s="7" t="s">
        <v>28</v>
      </c>
      <c r="D4" s="7" t="s">
        <v>189</v>
      </c>
      <c r="E4" s="7" t="s">
        <v>190</v>
      </c>
      <c r="F4" s="7" t="s">
        <v>191</v>
      </c>
      <c r="G4" s="7" t="s">
        <v>113</v>
      </c>
    </row>
    <row r="5" customFormat="false" ht="18" hidden="false" customHeight="true" outlineLevel="0" collapsed="false">
      <c r="A5" s="3" t="s">
        <v>31</v>
      </c>
      <c r="B5" s="10" t="s">
        <v>246</v>
      </c>
      <c r="C5" s="13" t="n">
        <f aca="false">'Input Data Brussels'!G4</f>
        <v>83278.764</v>
      </c>
      <c r="D5" s="33" t="n">
        <f aca="false">C5/$C$22*100</f>
        <v>99.3454293994353</v>
      </c>
      <c r="E5" s="11" t="n">
        <v>78000</v>
      </c>
      <c r="F5" s="11" t="n">
        <v>91000</v>
      </c>
      <c r="G5" s="14" t="s">
        <v>193</v>
      </c>
    </row>
    <row r="6" customFormat="false" ht="18" hidden="false" customHeight="true" outlineLevel="0" collapsed="false">
      <c r="A6" s="3" t="s">
        <v>194</v>
      </c>
      <c r="B6" s="4" t="s">
        <v>195</v>
      </c>
      <c r="C6" s="17" t="n">
        <f aca="false">SUM('Input Data Brussels'!G6:G18)</f>
        <v>548.71</v>
      </c>
      <c r="D6" s="34" t="n">
        <f aca="false">C6/$C$22*100</f>
        <v>0.654570600564679</v>
      </c>
      <c r="E6" s="15" t="n">
        <v>400</v>
      </c>
      <c r="F6" s="15" t="n">
        <v>700</v>
      </c>
      <c r="G6" s="18" t="s">
        <v>247</v>
      </c>
    </row>
    <row r="7" customFormat="false" ht="18" hidden="false" customHeight="true" outlineLevel="0" collapsed="false">
      <c r="A7" s="3" t="s">
        <v>194</v>
      </c>
      <c r="B7" s="10" t="s">
        <v>197</v>
      </c>
      <c r="C7" s="13" t="n">
        <v>0</v>
      </c>
      <c r="D7" s="33" t="n">
        <f aca="false">C7/$C$22*100</f>
        <v>0</v>
      </c>
      <c r="E7" s="11" t="n">
        <v>0</v>
      </c>
      <c r="F7" s="11" t="n">
        <v>0</v>
      </c>
      <c r="G7" s="14" t="s">
        <v>248</v>
      </c>
    </row>
    <row r="8" customFormat="false" ht="18" hidden="false" customHeight="true" outlineLevel="0" collapsed="false">
      <c r="A8" s="3" t="s">
        <v>194</v>
      </c>
      <c r="B8" s="4" t="s">
        <v>73</v>
      </c>
      <c r="C8" s="17" t="n">
        <v>0</v>
      </c>
      <c r="D8" s="34" t="n">
        <f aca="false">C8/$C$22*100</f>
        <v>0</v>
      </c>
      <c r="E8" s="15" t="n">
        <v>0</v>
      </c>
      <c r="F8" s="15" t="n">
        <v>0</v>
      </c>
      <c r="G8" s="18" t="s">
        <v>249</v>
      </c>
    </row>
    <row r="9" customFormat="false" ht="18" hidden="false" customHeight="true" outlineLevel="0" collapsed="false">
      <c r="A9" s="3" t="s">
        <v>194</v>
      </c>
      <c r="B9" s="10" t="s">
        <v>76</v>
      </c>
      <c r="C9" s="13" t="n">
        <v>0</v>
      </c>
      <c r="D9" s="33" t="n">
        <f aca="false">C9/$C$22*100</f>
        <v>0</v>
      </c>
      <c r="E9" s="11" t="n">
        <v>0</v>
      </c>
      <c r="F9" s="11" t="n">
        <v>0</v>
      </c>
      <c r="G9" s="14" t="s">
        <v>250</v>
      </c>
    </row>
    <row r="10" customFormat="false" ht="18" hidden="false" customHeight="true" outlineLevel="0" collapsed="false">
      <c r="A10" s="3" t="s">
        <v>201</v>
      </c>
      <c r="B10" s="4" t="s">
        <v>251</v>
      </c>
      <c r="C10" s="17" t="n">
        <v>0</v>
      </c>
      <c r="D10" s="34" t="n">
        <f aca="false">C10/$C$22*100</f>
        <v>0</v>
      </c>
      <c r="E10" s="15" t="n">
        <v>0</v>
      </c>
      <c r="F10" s="15" t="n">
        <v>11</v>
      </c>
      <c r="G10" s="18" t="s">
        <v>252</v>
      </c>
    </row>
    <row r="11" customFormat="false" ht="15" hidden="false" customHeight="true" outlineLevel="0" collapsed="false">
      <c r="A11" s="58"/>
      <c r="B11" s="58"/>
      <c r="C11" s="59"/>
      <c r="D11" s="60"/>
      <c r="E11" s="61"/>
      <c r="F11" s="61"/>
      <c r="G11" s="62"/>
    </row>
    <row r="12" customFormat="false" ht="15" hidden="false" customHeight="true" outlineLevel="0" collapsed="false">
      <c r="A12" s="58"/>
      <c r="B12" s="58"/>
      <c r="C12" s="59"/>
      <c r="D12" s="60"/>
      <c r="E12" s="61"/>
      <c r="F12" s="61"/>
      <c r="G12" s="62"/>
    </row>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3.5" hidden="false" customHeight="true" outlineLevel="0" collapsed="false">
      <c r="A18" s="30" t="s">
        <v>218</v>
      </c>
      <c r="B18" s="30"/>
      <c r="C18" s="30"/>
      <c r="D18" s="30"/>
      <c r="E18" s="30"/>
      <c r="F18" s="30"/>
      <c r="G18" s="30"/>
    </row>
    <row r="19" customFormat="false" ht="19.5" hidden="false" customHeight="true" outlineLevel="0" collapsed="false">
      <c r="A19" s="35" t="s">
        <v>219</v>
      </c>
      <c r="B19" s="46"/>
      <c r="C19" s="47" t="n">
        <f aca="false">C5</f>
        <v>83278.764</v>
      </c>
      <c r="D19" s="48" t="n">
        <f aca="false">C19/$C$22*100</f>
        <v>99.3454293994353</v>
      </c>
      <c r="E19" s="46"/>
      <c r="F19" s="46"/>
      <c r="G19" s="46"/>
    </row>
    <row r="20" customFormat="false" ht="19.5" hidden="false" customHeight="true" outlineLevel="0" collapsed="false">
      <c r="A20" s="35" t="s">
        <v>220</v>
      </c>
      <c r="B20" s="35"/>
      <c r="C20" s="36" t="n">
        <f aca="false">C6+C7+C8+C9</f>
        <v>548.71</v>
      </c>
      <c r="D20" s="49" t="n">
        <f aca="false">C20/$C$22*100</f>
        <v>0.654570600564679</v>
      </c>
      <c r="E20" s="35"/>
      <c r="F20" s="35"/>
      <c r="G20" s="35"/>
    </row>
    <row r="21" customFormat="false" ht="19.5" hidden="false" customHeight="true" outlineLevel="0" collapsed="false">
      <c r="A21" s="35" t="s">
        <v>221</v>
      </c>
      <c r="B21" s="35"/>
      <c r="C21" s="36" t="n">
        <f aca="false">C10</f>
        <v>0</v>
      </c>
      <c r="D21" s="49" t="n">
        <f aca="false">C21/$C$22*100</f>
        <v>0</v>
      </c>
      <c r="E21" s="35"/>
      <c r="F21" s="35"/>
      <c r="G21" s="35"/>
    </row>
    <row r="22" customFormat="false" ht="21.75" hidden="false" customHeight="true" outlineLevel="0" collapsed="false">
      <c r="A22" s="37" t="s">
        <v>222</v>
      </c>
      <c r="B22" s="37"/>
      <c r="C22" s="38" t="n">
        <f aca="false">C19+C20+C21</f>
        <v>83827.474</v>
      </c>
      <c r="D22" s="50" t="n">
        <f aca="false">100</f>
        <v>100</v>
      </c>
      <c r="E22" s="37"/>
      <c r="F22" s="37"/>
      <c r="G22" s="37"/>
    </row>
    <row r="24" customFormat="false" ht="18" hidden="false" customHeight="true" outlineLevel="0" collapsed="false">
      <c r="A24" s="5" t="s">
        <v>223</v>
      </c>
    </row>
    <row r="25" customFormat="false" ht="30" hidden="false" customHeight="true" outlineLevel="0" collapsed="false">
      <c r="A25" s="7" t="s">
        <v>224</v>
      </c>
      <c r="B25" s="7"/>
      <c r="C25" s="7"/>
      <c r="D25" s="7"/>
      <c r="E25" s="7"/>
      <c r="F25" s="7"/>
      <c r="G25" s="7"/>
    </row>
    <row r="26" customFormat="false" ht="18" hidden="false" customHeight="true" outlineLevel="0" collapsed="false">
      <c r="A26" s="3" t="s">
        <v>225</v>
      </c>
      <c r="B26" s="10" t="s">
        <v>226</v>
      </c>
      <c r="C26" s="10" t="s">
        <v>227</v>
      </c>
      <c r="D26" s="51" t="s">
        <v>228</v>
      </c>
      <c r="E26" s="10" t="s">
        <v>229</v>
      </c>
      <c r="F26" s="10" t="s">
        <v>230</v>
      </c>
      <c r="G26" s="10" t="s">
        <v>231</v>
      </c>
    </row>
    <row r="27" customFormat="false" ht="18" hidden="false" customHeight="true" outlineLevel="0" collapsed="false">
      <c r="A27" s="3" t="s">
        <v>232</v>
      </c>
      <c r="B27" s="4" t="s">
        <v>233</v>
      </c>
      <c r="C27" s="4" t="s">
        <v>234</v>
      </c>
      <c r="D27" s="52" t="s">
        <v>235</v>
      </c>
      <c r="E27" s="4" t="s">
        <v>236</v>
      </c>
      <c r="F27" s="4" t="s">
        <v>237</v>
      </c>
      <c r="G27" s="4" t="s">
        <v>238</v>
      </c>
    </row>
    <row r="28" customFormat="false" ht="18" hidden="false" customHeight="true" outlineLevel="0" collapsed="false">
      <c r="A28" s="3" t="s">
        <v>253</v>
      </c>
      <c r="B28" s="53" t="str">
        <f aca="false">TEXT(C21/$C$22*100,"0.00")&amp;"%"</f>
        <v>0.00%</v>
      </c>
      <c r="C28" s="53" t="str">
        <f aca="false">TEXT(C20/$C$22*100,"0.0")&amp;"%"</f>
        <v>0.7%</v>
      </c>
      <c r="D28" s="54" t="str">
        <f aca="false">TEXT(C19/$C$22*100,"0.0")&amp;"%"</f>
        <v>99.3%</v>
      </c>
      <c r="E28" s="53" t="s">
        <v>240</v>
      </c>
      <c r="F28" s="53" t="s">
        <v>254</v>
      </c>
      <c r="G28" s="53" t="s">
        <v>255</v>
      </c>
    </row>
    <row r="30" customFormat="false" ht="72" hidden="false" customHeight="true" outlineLevel="0" collapsed="false">
      <c r="A30" s="55" t="s">
        <v>256</v>
      </c>
      <c r="B30" s="56"/>
      <c r="C30" s="56"/>
      <c r="D30" s="56"/>
      <c r="E30" s="56"/>
      <c r="F30" s="56"/>
      <c r="G30" s="57"/>
    </row>
  </sheetData>
  <mergeCells count="3">
    <mergeCell ref="A1:G1"/>
    <mergeCell ref="A3:G3"/>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2"/>
    <col collapsed="false" customWidth="true" hidden="false" outlineLevel="0" max="10" min="10" style="1" width="16"/>
    <col collapsed="false" customWidth="true" hidden="false" outlineLevel="0" max="11" min="11" style="1" width="20"/>
  </cols>
  <sheetData>
    <row r="1" customFormat="false" ht="25.5" hidden="false" customHeight="true" outlineLevel="0" collapsed="false">
      <c r="A1" s="2" t="s">
        <v>257</v>
      </c>
      <c r="B1" s="2"/>
      <c r="C1" s="2"/>
      <c r="D1" s="2"/>
      <c r="E1" s="2"/>
      <c r="F1" s="2"/>
      <c r="G1" s="63"/>
      <c r="H1" s="63"/>
      <c r="I1" s="63"/>
      <c r="J1" s="63"/>
      <c r="K1" s="63"/>
    </row>
    <row r="3" customFormat="false" ht="36" hidden="false" customHeight="true" outlineLevel="0" collapsed="false">
      <c r="A3" s="31" t="s">
        <v>258</v>
      </c>
      <c r="B3" s="31"/>
      <c r="C3" s="31"/>
      <c r="D3" s="31"/>
      <c r="E3" s="31"/>
      <c r="F3" s="31"/>
    </row>
    <row r="5" customFormat="false" ht="30" hidden="false" customHeight="true" outlineLevel="0" collapsed="false">
      <c r="A5" s="7" t="s">
        <v>259</v>
      </c>
      <c r="B5" s="7" t="s">
        <v>260</v>
      </c>
      <c r="C5" s="7" t="s">
        <v>261</v>
      </c>
      <c r="D5" s="7" t="s">
        <v>262</v>
      </c>
      <c r="E5" s="7" t="s">
        <v>263</v>
      </c>
      <c r="F5" s="7" t="s">
        <v>264</v>
      </c>
    </row>
    <row r="6" customFormat="false" ht="18" hidden="false" customHeight="true" outlineLevel="0" collapsed="false">
      <c r="A6" s="3" t="s">
        <v>202</v>
      </c>
      <c r="B6" s="11" t="n">
        <v>9000</v>
      </c>
      <c r="C6" s="11" t="n">
        <v>18500</v>
      </c>
      <c r="D6" s="11" t="n">
        <v>37000</v>
      </c>
      <c r="E6" s="13" t="n">
        <v>100</v>
      </c>
      <c r="F6" s="14" t="s">
        <v>265</v>
      </c>
    </row>
    <row r="7" customFormat="false" ht="18" hidden="false" customHeight="true" outlineLevel="0" collapsed="false">
      <c r="A7" s="3" t="s">
        <v>204</v>
      </c>
      <c r="B7" s="15" t="n">
        <v>20000</v>
      </c>
      <c r="C7" s="15" t="n">
        <v>40000</v>
      </c>
      <c r="D7" s="15" t="n">
        <v>80000</v>
      </c>
      <c r="E7" s="17" t="n">
        <v>22</v>
      </c>
      <c r="F7" s="18" t="s">
        <v>266</v>
      </c>
    </row>
    <row r="8" customFormat="false" ht="18" hidden="false" customHeight="true" outlineLevel="0" collapsed="false">
      <c r="A8" s="3" t="s">
        <v>206</v>
      </c>
      <c r="B8" s="11" t="n">
        <v>12500</v>
      </c>
      <c r="C8" s="11" t="n">
        <v>25000</v>
      </c>
      <c r="D8" s="11" t="n">
        <v>50000</v>
      </c>
      <c r="E8" s="13" t="n">
        <v>62</v>
      </c>
      <c r="F8" s="14" t="s">
        <v>267</v>
      </c>
    </row>
    <row r="10" customFormat="false" ht="18" hidden="false" customHeight="true" outlineLevel="0" collapsed="false">
      <c r="A10" s="43" t="s">
        <v>268</v>
      </c>
      <c r="B10" s="43"/>
      <c r="C10" s="43"/>
      <c r="D10" s="43"/>
      <c r="E10" s="43"/>
      <c r="F10" s="43"/>
    </row>
    <row r="11" customFormat="false" ht="18" hidden="false" customHeight="true" outlineLevel="0" collapsed="false">
      <c r="A11" s="3" t="s">
        <v>269</v>
      </c>
      <c r="B11" s="15" t="s">
        <v>202</v>
      </c>
      <c r="C11" s="15" t="s">
        <v>204</v>
      </c>
      <c r="D11" s="15" t="s">
        <v>206</v>
      </c>
      <c r="E11" s="17" t="s">
        <v>270</v>
      </c>
      <c r="F11" s="18" t="s">
        <v>271</v>
      </c>
    </row>
    <row r="12" customFormat="false" ht="18" hidden="false" customHeight="true" outlineLevel="0" collapsed="false">
      <c r="A12" s="3" t="s">
        <v>272</v>
      </c>
      <c r="B12" s="11" t="n">
        <v>9000</v>
      </c>
      <c r="C12" s="11" t="n">
        <v>20000</v>
      </c>
      <c r="D12" s="11" t="n">
        <v>12500</v>
      </c>
      <c r="E12" s="13" t="n">
        <v>2115</v>
      </c>
      <c r="F12" s="64" t="n">
        <v>0.276913287517168</v>
      </c>
    </row>
    <row r="13" customFormat="false" ht="18" hidden="false" customHeight="true" outlineLevel="0" collapsed="false">
      <c r="A13" s="3" t="s">
        <v>273</v>
      </c>
      <c r="B13" s="15" t="n">
        <v>18500</v>
      </c>
      <c r="C13" s="15" t="n">
        <v>40000</v>
      </c>
      <c r="D13" s="15" t="n">
        <v>25000</v>
      </c>
      <c r="E13" s="17" t="n">
        <v>4280</v>
      </c>
      <c r="F13" s="65" t="n">
        <v>0.558789046690219</v>
      </c>
    </row>
    <row r="14" customFormat="false" ht="21.75" hidden="false" customHeight="true" outlineLevel="0" collapsed="false">
      <c r="A14" s="66" t="s">
        <v>274</v>
      </c>
      <c r="B14" s="67" t="n">
        <v>37000</v>
      </c>
      <c r="C14" s="67" t="n">
        <v>80000</v>
      </c>
      <c r="D14" s="67" t="n">
        <v>50000</v>
      </c>
      <c r="E14" s="67" t="n">
        <v>8560</v>
      </c>
      <c r="F14" s="68" t="n">
        <v>1.11136789133523</v>
      </c>
    </row>
    <row r="15" customFormat="false" ht="21.75" hidden="false" customHeight="true" outlineLevel="0" collapsed="false">
      <c r="A15" s="66" t="s">
        <v>275</v>
      </c>
      <c r="B15" s="67" t="n">
        <v>9000</v>
      </c>
      <c r="C15" s="67" t="n">
        <v>20000</v>
      </c>
      <c r="D15" s="67" t="n">
        <v>50000</v>
      </c>
      <c r="E15" s="67" t="n">
        <v>4440</v>
      </c>
      <c r="F15" s="68" t="n">
        <v>0.579557291326742</v>
      </c>
    </row>
    <row r="16" customFormat="false" ht="30" hidden="false" customHeight="true" outlineLevel="0" collapsed="false">
      <c r="A16" s="7" t="s">
        <v>269</v>
      </c>
      <c r="B16" s="69" t="s">
        <v>202</v>
      </c>
      <c r="C16" s="69" t="s">
        <v>204</v>
      </c>
      <c r="D16" s="69" t="s">
        <v>206</v>
      </c>
      <c r="E16" s="69" t="s">
        <v>208</v>
      </c>
      <c r="F16" s="70" t="s">
        <v>210</v>
      </c>
      <c r="G16" s="42" t="s">
        <v>212</v>
      </c>
      <c r="H16" s="42" t="s">
        <v>214</v>
      </c>
      <c r="I16" s="42" t="s">
        <v>216</v>
      </c>
      <c r="J16" s="42" t="s">
        <v>270</v>
      </c>
      <c r="K16" s="42" t="s">
        <v>271</v>
      </c>
    </row>
    <row r="17" customFormat="false" ht="18" hidden="false" customHeight="true" outlineLevel="0" collapsed="false">
      <c r="A17" s="20" t="s">
        <v>272</v>
      </c>
      <c r="B17" s="21" t="n">
        <v>4000</v>
      </c>
      <c r="C17" s="21" t="n">
        <v>12500</v>
      </c>
      <c r="D17" s="21" t="n">
        <v>9000</v>
      </c>
      <c r="E17" s="21" t="n">
        <v>2500</v>
      </c>
      <c r="F17" s="21" t="n">
        <v>500</v>
      </c>
      <c r="G17" s="21" t="n">
        <v>100</v>
      </c>
      <c r="H17" s="21" t="n">
        <v>0</v>
      </c>
      <c r="I17" s="21" t="n">
        <v>12</v>
      </c>
      <c r="J17" s="23" t="n">
        <v>1263</v>
      </c>
      <c r="K17" s="71" t="n">
        <v>0.1692</v>
      </c>
    </row>
    <row r="18" customFormat="false" ht="18" hidden="false" customHeight="true" outlineLevel="0" collapsed="false">
      <c r="A18" s="5" t="s">
        <v>273</v>
      </c>
      <c r="B18" s="72" t="n">
        <v>8000</v>
      </c>
      <c r="C18" s="72" t="n">
        <v>25000</v>
      </c>
      <c r="D18" s="72" t="n">
        <v>17994</v>
      </c>
      <c r="E18" s="72" t="n">
        <v>5000</v>
      </c>
      <c r="F18" s="72" t="n">
        <v>3000</v>
      </c>
      <c r="G18" s="72" t="n">
        <v>3300</v>
      </c>
      <c r="H18" s="72" t="n">
        <v>25</v>
      </c>
      <c r="I18" s="72" t="n">
        <v>25</v>
      </c>
      <c r="J18" s="73" t="n">
        <v>2540.2</v>
      </c>
      <c r="K18" s="74" t="n">
        <v>0.3397</v>
      </c>
    </row>
    <row r="19" customFormat="false" ht="18" hidden="false" customHeight="true" outlineLevel="0" collapsed="false">
      <c r="A19" s="20" t="s">
        <v>274</v>
      </c>
      <c r="B19" s="21" t="n">
        <v>16000</v>
      </c>
      <c r="C19" s="21" t="n">
        <v>50000</v>
      </c>
      <c r="D19" s="21" t="n">
        <v>36000</v>
      </c>
      <c r="E19" s="21" t="n">
        <v>10000</v>
      </c>
      <c r="F19" s="21" t="n">
        <v>5000</v>
      </c>
      <c r="G19" s="21" t="n">
        <v>5000</v>
      </c>
      <c r="H19" s="21" t="n">
        <v>50</v>
      </c>
      <c r="I19" s="21" t="n">
        <v>50</v>
      </c>
      <c r="J19" s="23" t="n">
        <v>5074.3</v>
      </c>
      <c r="K19" s="71" t="n">
        <v>0.6762</v>
      </c>
    </row>
    <row r="20" customFormat="false" ht="18" hidden="false" customHeight="true" outlineLevel="0" collapsed="false">
      <c r="A20" s="20" t="s">
        <v>276</v>
      </c>
      <c r="B20" s="26" t="n">
        <v>4000</v>
      </c>
      <c r="C20" s="26" t="n">
        <v>12500</v>
      </c>
      <c r="D20" s="26" t="n">
        <v>9000</v>
      </c>
      <c r="E20" s="26" t="n">
        <v>10000</v>
      </c>
      <c r="F20" s="26" t="n">
        <v>5000</v>
      </c>
      <c r="G20" s="26" t="n">
        <v>5000</v>
      </c>
      <c r="H20" s="26" t="n">
        <v>50</v>
      </c>
      <c r="I20" s="26" t="n">
        <v>50</v>
      </c>
      <c r="J20" s="28" t="n">
        <v>1375.3</v>
      </c>
      <c r="K20" s="75" t="n">
        <v>0.1842</v>
      </c>
    </row>
    <row r="21" customFormat="false" ht="18" hidden="false" customHeight="true" outlineLevel="0" collapsed="false">
      <c r="A21" s="20" t="s">
        <v>277</v>
      </c>
      <c r="B21" s="21" t="n">
        <v>16000</v>
      </c>
      <c r="C21" s="21" t="n">
        <v>50000</v>
      </c>
      <c r="D21" s="21" t="n">
        <v>36000</v>
      </c>
      <c r="E21" s="21" t="n">
        <v>2500</v>
      </c>
      <c r="F21" s="21" t="n">
        <v>500</v>
      </c>
      <c r="G21" s="21" t="n">
        <v>100</v>
      </c>
      <c r="H21" s="21" t="n">
        <v>0</v>
      </c>
      <c r="I21" s="21" t="n">
        <v>12</v>
      </c>
      <c r="J21" s="23" t="n">
        <v>4962</v>
      </c>
      <c r="K21" s="71" t="n">
        <v>0.6614</v>
      </c>
    </row>
  </sheetData>
  <mergeCells count="3">
    <mergeCell ref="A1:F1"/>
    <mergeCell ref="A3:F3"/>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2026-04-09T18:48:43Z</dcterms:created>
  <dc:creator>openpyxl</dc:creator>
  <dc:description/>
  <dc:language>en-US</dc:language>
  <cp:lastModifiedBy/>
  <dcterms:modified xsi:type="dcterms:W3CDTF">2026-04-10T06:24:46Z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